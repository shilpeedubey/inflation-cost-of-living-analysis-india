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cer\Desktop\Inflation_Cost_of_Living_India_2015_2025\excel_dashboard\"/>
    </mc:Choice>
  </mc:AlternateContent>
  <xr:revisionPtr revIDLastSave="0" documentId="13_ncr:1_{8074713D-59CA-4FD2-AC63-5340148BF47A}" xr6:coauthVersionLast="47" xr6:coauthVersionMax="47" xr10:uidLastSave="{00000000-0000-0000-0000-000000000000}"/>
  <bookViews>
    <workbookView xWindow="-120" yWindow="-120" windowWidth="29040" windowHeight="16440" activeTab="3" xr2:uid="{DFAD4D32-83D3-4471-A600-861DC1D82C8E}"/>
  </bookViews>
  <sheets>
    <sheet name="Raw_Data" sheetId="1" r:id="rId1"/>
    <sheet name="Cleaned_Data" sheetId="2" r:id="rId2"/>
    <sheet name="Summary_Stats" sheetId="3" r:id="rId3"/>
    <sheet name="Dashboard" sheetId="4" r:id="rId4"/>
    <sheet name="Food_Overall" sheetId="5" r:id="rId5"/>
    <sheet name="Fuel_Overall" sheetId="7" r:id="rId6"/>
    <sheet name="Food_Fuel_Comparison" sheetId="8" r:id="rId7"/>
    <sheet name="Executive_Summary"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4" l="1"/>
  <c r="C3" i="8"/>
  <c r="C4" i="8"/>
  <c r="C5" i="8"/>
  <c r="C6" i="8"/>
  <c r="C7" i="8"/>
  <c r="C8" i="8"/>
  <c r="C9" i="8"/>
  <c r="C10" i="8"/>
  <c r="C11" i="8"/>
  <c r="C2" i="8"/>
  <c r="B3" i="8"/>
  <c r="B4" i="8"/>
  <c r="B5" i="8"/>
  <c r="B6" i="8"/>
  <c r="B7" i="8"/>
  <c r="B8" i="8"/>
  <c r="B9" i="8"/>
  <c r="B10" i="8"/>
  <c r="B11" i="8"/>
  <c r="B2" i="8"/>
  <c r="B16" i="4"/>
  <c r="B17" i="4"/>
  <c r="B18" i="4"/>
  <c r="B19" i="4"/>
  <c r="B20" i="4"/>
  <c r="B21" i="4"/>
  <c r="B22" i="4"/>
  <c r="B23" i="4"/>
  <c r="B14" i="4"/>
  <c r="B5" i="3"/>
  <c r="B4" i="3"/>
  <c r="B3" i="3"/>
  <c r="B2" i="3"/>
  <c r="A60" i="2"/>
  <c r="B60" i="2"/>
  <c r="C60" i="2"/>
  <c r="D60" i="2"/>
  <c r="E60" i="2"/>
  <c r="B61" i="2"/>
  <c r="A61" i="2" s="1"/>
  <c r="C61" i="2"/>
  <c r="D61" i="2"/>
  <c r="E61" i="2"/>
  <c r="B62" i="2"/>
  <c r="C62" i="2"/>
  <c r="A62" i="2" s="1"/>
  <c r="D62" i="2"/>
  <c r="E62" i="2"/>
  <c r="B63" i="2"/>
  <c r="A63" i="2" s="1"/>
  <c r="C63" i="2"/>
  <c r="D63" i="2"/>
  <c r="E63" i="2"/>
  <c r="A64" i="2"/>
  <c r="B64" i="2"/>
  <c r="C64" i="2"/>
  <c r="D64" i="2"/>
  <c r="E64" i="2"/>
  <c r="A65" i="2"/>
  <c r="B65" i="2"/>
  <c r="C65" i="2"/>
  <c r="D65" i="2"/>
  <c r="E65" i="2"/>
  <c r="B66" i="2"/>
  <c r="A66" i="2" s="1"/>
  <c r="C66" i="2"/>
  <c r="D66" i="2"/>
  <c r="E66" i="2"/>
  <c r="B67" i="2"/>
  <c r="A67" i="2" s="1"/>
  <c r="C67" i="2"/>
  <c r="D67" i="2"/>
  <c r="E67" i="2"/>
  <c r="A68" i="2"/>
  <c r="B68" i="2"/>
  <c r="C68" i="2"/>
  <c r="D68" i="2"/>
  <c r="E68" i="2"/>
  <c r="B69" i="2"/>
  <c r="C69" i="2"/>
  <c r="A69" i="2" s="1"/>
  <c r="D69" i="2"/>
  <c r="E69" i="2"/>
  <c r="B70" i="2"/>
  <c r="A70" i="2" s="1"/>
  <c r="C70" i="2"/>
  <c r="D70" i="2"/>
  <c r="E70" i="2"/>
  <c r="B71" i="2"/>
  <c r="A71" i="2" s="1"/>
  <c r="C71" i="2"/>
  <c r="D71" i="2"/>
  <c r="E71" i="2"/>
  <c r="A72" i="2"/>
  <c r="B72" i="2"/>
  <c r="C72" i="2"/>
  <c r="D72" i="2"/>
  <c r="E72" i="2"/>
  <c r="A73" i="2"/>
  <c r="B73" i="2"/>
  <c r="C73" i="2"/>
  <c r="D73" i="2"/>
  <c r="E73" i="2"/>
  <c r="B74" i="2"/>
  <c r="A74" i="2" s="1"/>
  <c r="C74" i="2"/>
  <c r="D74" i="2"/>
  <c r="E74" i="2"/>
  <c r="B75" i="2"/>
  <c r="A75" i="2" s="1"/>
  <c r="C75" i="2"/>
  <c r="D75" i="2"/>
  <c r="E75" i="2"/>
  <c r="A76" i="2"/>
  <c r="B76" i="2"/>
  <c r="C76" i="2"/>
  <c r="D76" i="2"/>
  <c r="E76" i="2"/>
  <c r="B77" i="2"/>
  <c r="C77" i="2"/>
  <c r="A77" i="2" s="1"/>
  <c r="D77" i="2"/>
  <c r="E77" i="2"/>
  <c r="B78" i="2"/>
  <c r="A78" i="2" s="1"/>
  <c r="C78" i="2"/>
  <c r="D78" i="2"/>
  <c r="E78" i="2"/>
  <c r="B79" i="2"/>
  <c r="A79" i="2" s="1"/>
  <c r="C79" i="2"/>
  <c r="D79" i="2"/>
  <c r="E79" i="2"/>
  <c r="A80" i="2"/>
  <c r="B80" i="2"/>
  <c r="C80" i="2"/>
  <c r="D80" i="2"/>
  <c r="E80" i="2"/>
  <c r="A81" i="2"/>
  <c r="B81" i="2"/>
  <c r="C81" i="2"/>
  <c r="D81" i="2"/>
  <c r="E81" i="2"/>
  <c r="B82" i="2"/>
  <c r="A82" i="2" s="1"/>
  <c r="C82" i="2"/>
  <c r="D82" i="2"/>
  <c r="E82" i="2"/>
  <c r="B83" i="2"/>
  <c r="A83" i="2" s="1"/>
  <c r="C83" i="2"/>
  <c r="D83" i="2"/>
  <c r="E83" i="2"/>
  <c r="A84" i="2"/>
  <c r="B84" i="2"/>
  <c r="C84" i="2"/>
  <c r="D84" i="2"/>
  <c r="E84" i="2"/>
  <c r="B85" i="2"/>
  <c r="C85" i="2"/>
  <c r="A85" i="2" s="1"/>
  <c r="D85" i="2"/>
  <c r="E85" i="2"/>
  <c r="B86" i="2"/>
  <c r="A86" i="2" s="1"/>
  <c r="C86" i="2"/>
  <c r="D86" i="2"/>
  <c r="E86" i="2"/>
  <c r="B87" i="2"/>
  <c r="A87" i="2" s="1"/>
  <c r="C87" i="2"/>
  <c r="D87" i="2"/>
  <c r="E87" i="2"/>
  <c r="A88" i="2"/>
  <c r="B88" i="2"/>
  <c r="C88" i="2"/>
  <c r="D88" i="2"/>
  <c r="E88" i="2"/>
  <c r="A89" i="2"/>
  <c r="B89" i="2"/>
  <c r="C89" i="2"/>
  <c r="D89" i="2"/>
  <c r="E89" i="2"/>
  <c r="B90" i="2"/>
  <c r="A90" i="2" s="1"/>
  <c r="C90" i="2"/>
  <c r="D90" i="2"/>
  <c r="E90" i="2"/>
  <c r="B91" i="2"/>
  <c r="A91" i="2" s="1"/>
  <c r="C91" i="2"/>
  <c r="D91" i="2"/>
  <c r="E91" i="2"/>
  <c r="A92" i="2"/>
  <c r="B92" i="2"/>
  <c r="C92" i="2"/>
  <c r="D92" i="2"/>
  <c r="E92" i="2"/>
  <c r="B93" i="2"/>
  <c r="C93" i="2"/>
  <c r="A93" i="2" s="1"/>
  <c r="D93" i="2"/>
  <c r="E93" i="2"/>
  <c r="B94" i="2"/>
  <c r="A94" i="2" s="1"/>
  <c r="C94" i="2"/>
  <c r="D94" i="2"/>
  <c r="E94" i="2"/>
  <c r="B95" i="2"/>
  <c r="A95" i="2" s="1"/>
  <c r="C95" i="2"/>
  <c r="D95" i="2"/>
  <c r="E95" i="2"/>
  <c r="A96" i="2"/>
  <c r="B96" i="2"/>
  <c r="C96" i="2"/>
  <c r="D96" i="2"/>
  <c r="E96" i="2"/>
  <c r="A97" i="2"/>
  <c r="B97" i="2"/>
  <c r="C97" i="2"/>
  <c r="D97" i="2"/>
  <c r="E97" i="2"/>
  <c r="B98" i="2"/>
  <c r="A98" i="2" s="1"/>
  <c r="C98" i="2"/>
  <c r="D98" i="2"/>
  <c r="E98" i="2"/>
  <c r="B99" i="2"/>
  <c r="A99" i="2" s="1"/>
  <c r="C99" i="2"/>
  <c r="D99" i="2"/>
  <c r="E99" i="2"/>
  <c r="A100" i="2"/>
  <c r="B100" i="2"/>
  <c r="C100" i="2"/>
  <c r="D100" i="2"/>
  <c r="E100" i="2"/>
  <c r="B101" i="2"/>
  <c r="C101" i="2"/>
  <c r="A101" i="2" s="1"/>
  <c r="D101" i="2"/>
  <c r="E101" i="2"/>
  <c r="B102" i="2"/>
  <c r="A102" i="2" s="1"/>
  <c r="C102" i="2"/>
  <c r="D102" i="2"/>
  <c r="E102" i="2"/>
  <c r="B103" i="2"/>
  <c r="A103" i="2" s="1"/>
  <c r="C103" i="2"/>
  <c r="D103" i="2"/>
  <c r="E103" i="2"/>
  <c r="A104" i="2"/>
  <c r="B104" i="2"/>
  <c r="C104" i="2"/>
  <c r="D104" i="2"/>
  <c r="E104" i="2"/>
  <c r="A105" i="2"/>
  <c r="B105" i="2"/>
  <c r="C105" i="2"/>
  <c r="D105" i="2"/>
  <c r="E105" i="2"/>
  <c r="B106" i="2"/>
  <c r="A106" i="2" s="1"/>
  <c r="C106" i="2"/>
  <c r="D106" i="2"/>
  <c r="E106" i="2"/>
  <c r="B107" i="2"/>
  <c r="A107" i="2" s="1"/>
  <c r="C107" i="2"/>
  <c r="D107" i="2"/>
  <c r="E107" i="2"/>
  <c r="B108" i="2"/>
  <c r="A108" i="2" s="1"/>
  <c r="C108" i="2"/>
  <c r="D108" i="2"/>
  <c r="E108" i="2"/>
  <c r="B109" i="2"/>
  <c r="C109" i="2"/>
  <c r="A109" i="2" s="1"/>
  <c r="D109" i="2"/>
  <c r="E109" i="2"/>
  <c r="B110" i="2"/>
  <c r="A110" i="2" s="1"/>
  <c r="C110" i="2"/>
  <c r="D110" i="2"/>
  <c r="E110" i="2"/>
  <c r="B111" i="2"/>
  <c r="A111" i="2" s="1"/>
  <c r="C111" i="2"/>
  <c r="D111" i="2"/>
  <c r="E111" i="2"/>
  <c r="A112" i="2"/>
  <c r="B112" i="2"/>
  <c r="C112" i="2"/>
  <c r="D112" i="2"/>
  <c r="E112" i="2"/>
  <c r="A113" i="2"/>
  <c r="B113" i="2"/>
  <c r="C113" i="2"/>
  <c r="D113" i="2"/>
  <c r="E113" i="2"/>
  <c r="B114" i="2"/>
  <c r="A114" i="2" s="1"/>
  <c r="C114" i="2"/>
  <c r="D114" i="2"/>
  <c r="E114" i="2"/>
  <c r="B115" i="2"/>
  <c r="A115" i="2" s="1"/>
  <c r="C115" i="2"/>
  <c r="D115" i="2"/>
  <c r="E115" i="2"/>
  <c r="B116" i="2"/>
  <c r="A116" i="2" s="1"/>
  <c r="C116" i="2"/>
  <c r="D116" i="2"/>
  <c r="E116" i="2"/>
  <c r="B117" i="2"/>
  <c r="C117" i="2"/>
  <c r="A117" i="2" s="1"/>
  <c r="D117" i="2"/>
  <c r="E117" i="2"/>
  <c r="B118" i="2"/>
  <c r="A118" i="2" s="1"/>
  <c r="C118" i="2"/>
  <c r="D118" i="2"/>
  <c r="E118" i="2"/>
  <c r="B119" i="2"/>
  <c r="A119" i="2" s="1"/>
  <c r="C119" i="2"/>
  <c r="D119" i="2"/>
  <c r="E119" i="2"/>
  <c r="A120" i="2"/>
  <c r="B120" i="2"/>
  <c r="C120" i="2"/>
  <c r="D120" i="2"/>
  <c r="E120" i="2"/>
  <c r="A121" i="2"/>
  <c r="B121" i="2"/>
  <c r="C121" i="2"/>
  <c r="D121" i="2"/>
  <c r="E121" i="2"/>
  <c r="A3" i="2"/>
  <c r="B3" i="2"/>
  <c r="C3" i="2"/>
  <c r="D3" i="2"/>
  <c r="E3" i="2"/>
  <c r="A4" i="2"/>
  <c r="B4" i="2"/>
  <c r="C4" i="2"/>
  <c r="D4" i="2"/>
  <c r="E4" i="2"/>
  <c r="B5" i="2"/>
  <c r="A5" i="2" s="1"/>
  <c r="C5" i="2"/>
  <c r="D5" i="2"/>
  <c r="E5" i="2"/>
  <c r="B6" i="2"/>
  <c r="A6" i="2" s="1"/>
  <c r="C6" i="2"/>
  <c r="D6" i="2"/>
  <c r="E6" i="2"/>
  <c r="B7" i="2"/>
  <c r="A7" i="2" s="1"/>
  <c r="C7" i="2"/>
  <c r="D7" i="2"/>
  <c r="E7" i="2"/>
  <c r="B8" i="2"/>
  <c r="A8" i="2" s="1"/>
  <c r="C8" i="2"/>
  <c r="D8" i="2"/>
  <c r="E8" i="2"/>
  <c r="B9" i="2"/>
  <c r="A9" i="2" s="1"/>
  <c r="C9" i="2"/>
  <c r="D9" i="2"/>
  <c r="E9" i="2"/>
  <c r="B10" i="2"/>
  <c r="C10" i="2"/>
  <c r="A10" i="2" s="1"/>
  <c r="D10" i="2"/>
  <c r="E10" i="2"/>
  <c r="A11" i="2"/>
  <c r="B11" i="2"/>
  <c r="C11" i="2"/>
  <c r="D11" i="2"/>
  <c r="E11" i="2"/>
  <c r="A12" i="2"/>
  <c r="B12" i="2"/>
  <c r="C12" i="2"/>
  <c r="D12" i="2"/>
  <c r="E12" i="2"/>
  <c r="B13" i="2"/>
  <c r="A13" i="2" s="1"/>
  <c r="C13" i="2"/>
  <c r="D13" i="2"/>
  <c r="E13" i="2"/>
  <c r="B14" i="2"/>
  <c r="A14" i="2" s="1"/>
  <c r="C14" i="2"/>
  <c r="D14" i="2"/>
  <c r="E14" i="2"/>
  <c r="B15" i="2"/>
  <c r="A15" i="2" s="1"/>
  <c r="C15" i="2"/>
  <c r="D15" i="2"/>
  <c r="E15" i="2"/>
  <c r="B16" i="2"/>
  <c r="A16" i="2" s="1"/>
  <c r="C16" i="2"/>
  <c r="D16" i="2"/>
  <c r="E16" i="2"/>
  <c r="B17" i="2"/>
  <c r="A17" i="2" s="1"/>
  <c r="C17" i="2"/>
  <c r="D17" i="2"/>
  <c r="E17" i="2"/>
  <c r="B18" i="2"/>
  <c r="C18" i="2"/>
  <c r="A18" i="2" s="1"/>
  <c r="D18" i="2"/>
  <c r="E18" i="2"/>
  <c r="A19" i="2"/>
  <c r="B19" i="2"/>
  <c r="C19" i="2"/>
  <c r="D19" i="2"/>
  <c r="E19" i="2"/>
  <c r="A20" i="2"/>
  <c r="B20" i="2"/>
  <c r="C20" i="2"/>
  <c r="D20" i="2"/>
  <c r="E20" i="2"/>
  <c r="B21" i="2"/>
  <c r="A21" i="2" s="1"/>
  <c r="C21" i="2"/>
  <c r="D21" i="2"/>
  <c r="E21" i="2"/>
  <c r="B22" i="2"/>
  <c r="A22" i="2" s="1"/>
  <c r="C22" i="2"/>
  <c r="D22" i="2"/>
  <c r="E22" i="2"/>
  <c r="B23" i="2"/>
  <c r="A23" i="2" s="1"/>
  <c r="C23" i="2"/>
  <c r="D23" i="2"/>
  <c r="E23" i="2"/>
  <c r="B24" i="2"/>
  <c r="C24" i="2"/>
  <c r="A24" i="2" s="1"/>
  <c r="D24" i="2"/>
  <c r="E24" i="2"/>
  <c r="B25" i="2"/>
  <c r="A25" i="2" s="1"/>
  <c r="C25" i="2"/>
  <c r="D25" i="2"/>
  <c r="E25" i="2"/>
  <c r="B26" i="2"/>
  <c r="A26" i="2" s="1"/>
  <c r="C26" i="2"/>
  <c r="D26" i="2"/>
  <c r="E26" i="2"/>
  <c r="A27" i="2"/>
  <c r="B27" i="2"/>
  <c r="C27" i="2"/>
  <c r="D27" i="2"/>
  <c r="E27" i="2"/>
  <c r="A28" i="2"/>
  <c r="B28" i="2"/>
  <c r="C28" i="2"/>
  <c r="D28" i="2"/>
  <c r="E28" i="2"/>
  <c r="B29" i="2"/>
  <c r="A29" i="2" s="1"/>
  <c r="C29" i="2"/>
  <c r="D29" i="2"/>
  <c r="E29" i="2"/>
  <c r="B30" i="2"/>
  <c r="A30" i="2" s="1"/>
  <c r="C30" i="2"/>
  <c r="D30" i="2"/>
  <c r="E30" i="2"/>
  <c r="B31" i="2"/>
  <c r="A31" i="2" s="1"/>
  <c r="C31" i="2"/>
  <c r="D31" i="2"/>
  <c r="E31" i="2"/>
  <c r="B32" i="2"/>
  <c r="C32" i="2"/>
  <c r="A32" i="2" s="1"/>
  <c r="D32" i="2"/>
  <c r="E32" i="2"/>
  <c r="B33" i="2"/>
  <c r="A33" i="2" s="1"/>
  <c r="C33" i="2"/>
  <c r="D33" i="2"/>
  <c r="E33" i="2"/>
  <c r="B34" i="2"/>
  <c r="A34" i="2" s="1"/>
  <c r="C34" i="2"/>
  <c r="D34" i="2"/>
  <c r="E34" i="2"/>
  <c r="A35" i="2"/>
  <c r="B35" i="2"/>
  <c r="C35" i="2"/>
  <c r="D35" i="2"/>
  <c r="E35" i="2"/>
  <c r="A36" i="2"/>
  <c r="B36" i="2"/>
  <c r="C36" i="2"/>
  <c r="D36" i="2"/>
  <c r="E36" i="2"/>
  <c r="B37" i="2"/>
  <c r="A37" i="2" s="1"/>
  <c r="C37" i="2"/>
  <c r="D37" i="2"/>
  <c r="E37" i="2"/>
  <c r="B38" i="2"/>
  <c r="A38" i="2" s="1"/>
  <c r="C38" i="2"/>
  <c r="D38" i="2"/>
  <c r="E38" i="2"/>
  <c r="B39" i="2"/>
  <c r="A39" i="2" s="1"/>
  <c r="C39" i="2"/>
  <c r="D39" i="2"/>
  <c r="E39" i="2"/>
  <c r="B40" i="2"/>
  <c r="C40" i="2"/>
  <c r="A40" i="2" s="1"/>
  <c r="D40" i="2"/>
  <c r="E40" i="2"/>
  <c r="B41" i="2"/>
  <c r="A41" i="2" s="1"/>
  <c r="C41" i="2"/>
  <c r="D41" i="2"/>
  <c r="E41" i="2"/>
  <c r="B42" i="2"/>
  <c r="A42" i="2" s="1"/>
  <c r="C42" i="2"/>
  <c r="D42" i="2"/>
  <c r="E42" i="2"/>
  <c r="A43" i="2"/>
  <c r="B43" i="2"/>
  <c r="C43" i="2"/>
  <c r="D43" i="2"/>
  <c r="E43" i="2"/>
  <c r="A44" i="2"/>
  <c r="B44" i="2"/>
  <c r="C44" i="2"/>
  <c r="D44" i="2"/>
  <c r="E44" i="2"/>
  <c r="B45" i="2"/>
  <c r="A45" i="2" s="1"/>
  <c r="C45" i="2"/>
  <c r="D45" i="2"/>
  <c r="E45" i="2"/>
  <c r="B46" i="2"/>
  <c r="A46" i="2" s="1"/>
  <c r="C46" i="2"/>
  <c r="D46" i="2"/>
  <c r="E46" i="2"/>
  <c r="B47" i="2"/>
  <c r="A47" i="2" s="1"/>
  <c r="C47" i="2"/>
  <c r="D47" i="2"/>
  <c r="E47" i="2"/>
  <c r="B48" i="2"/>
  <c r="C48" i="2"/>
  <c r="A48" i="2" s="1"/>
  <c r="D48" i="2"/>
  <c r="E48" i="2"/>
  <c r="B49" i="2"/>
  <c r="A49" i="2" s="1"/>
  <c r="C49" i="2"/>
  <c r="D49" i="2"/>
  <c r="E49" i="2"/>
  <c r="B50" i="2"/>
  <c r="A50" i="2" s="1"/>
  <c r="C50" i="2"/>
  <c r="D50" i="2"/>
  <c r="E50" i="2"/>
  <c r="A51" i="2"/>
  <c r="B51" i="2"/>
  <c r="C51" i="2"/>
  <c r="D51" i="2"/>
  <c r="E51" i="2"/>
  <c r="A52" i="2"/>
  <c r="B52" i="2"/>
  <c r="C52" i="2"/>
  <c r="D52" i="2"/>
  <c r="E52" i="2"/>
  <c r="B53" i="2"/>
  <c r="A53" i="2" s="1"/>
  <c r="C53" i="2"/>
  <c r="D53" i="2"/>
  <c r="E53" i="2"/>
  <c r="B54" i="2"/>
  <c r="A54" i="2" s="1"/>
  <c r="C54" i="2"/>
  <c r="D54" i="2"/>
  <c r="E54" i="2"/>
  <c r="B55" i="2"/>
  <c r="A55" i="2" s="1"/>
  <c r="C55" i="2"/>
  <c r="D55" i="2"/>
  <c r="E55" i="2"/>
  <c r="B56" i="2"/>
  <c r="C56" i="2"/>
  <c r="A56" i="2" s="1"/>
  <c r="D56" i="2"/>
  <c r="E56" i="2"/>
  <c r="B57" i="2"/>
  <c r="A57" i="2" s="1"/>
  <c r="C57" i="2"/>
  <c r="D57" i="2"/>
  <c r="E57" i="2"/>
  <c r="B58" i="2"/>
  <c r="A58" i="2" s="1"/>
  <c r="C58" i="2"/>
  <c r="D58" i="2"/>
  <c r="E58" i="2"/>
  <c r="A59" i="2"/>
  <c r="B59" i="2"/>
  <c r="C59" i="2"/>
  <c r="D59" i="2"/>
  <c r="E59" i="2"/>
  <c r="B2" i="2"/>
  <c r="C2" i="2"/>
  <c r="D2" i="2"/>
  <c r="E2" i="2"/>
  <c r="A2" i="2"/>
  <c r="F14" i="4" l="1"/>
  <c r="F15" i="4"/>
  <c r="F13" i="4"/>
</calcChain>
</file>

<file path=xl/sharedStrings.xml><?xml version="1.0" encoding="utf-8"?>
<sst xmlns="http://schemas.openxmlformats.org/spreadsheetml/2006/main" count="2246" uniqueCount="78">
  <si>
    <t>baseyear</t>
  </si>
  <si>
    <t>year</t>
  </si>
  <si>
    <t>month_code</t>
  </si>
  <si>
    <t>month</t>
  </si>
  <si>
    <t>state</t>
  </si>
  <si>
    <t>sector</t>
  </si>
  <si>
    <t>group</t>
  </si>
  <si>
    <t>subgroup</t>
  </si>
  <si>
    <t>index</t>
  </si>
  <si>
    <t>inflation</t>
  </si>
  <si>
    <t>status</t>
  </si>
  <si>
    <t>December</t>
  </si>
  <si>
    <t>All India</t>
  </si>
  <si>
    <t>Combined</t>
  </si>
  <si>
    <t>General</t>
  </si>
  <si>
    <t>General-Overall</t>
  </si>
  <si>
    <t>F</t>
  </si>
  <si>
    <t>November</t>
  </si>
  <si>
    <t>October</t>
  </si>
  <si>
    <t>September</t>
  </si>
  <si>
    <t>August</t>
  </si>
  <si>
    <t>July</t>
  </si>
  <si>
    <t>June</t>
  </si>
  <si>
    <t>May</t>
  </si>
  <si>
    <t>April</t>
  </si>
  <si>
    <t>March</t>
  </si>
  <si>
    <t>February</t>
  </si>
  <si>
    <t>January</t>
  </si>
  <si>
    <t>F*</t>
  </si>
  <si>
    <t xml:space="preserve">Date </t>
  </si>
  <si>
    <t xml:space="preserve"> Year </t>
  </si>
  <si>
    <t xml:space="preserve">CPI_Index </t>
  </si>
  <si>
    <t xml:space="preserve"> Month </t>
  </si>
  <si>
    <t>Inflation_Rate</t>
  </si>
  <si>
    <t>Average Inflation</t>
  </si>
  <si>
    <t>Maximum Inflation</t>
  </si>
  <si>
    <t>Minimum Inflation</t>
  </si>
  <si>
    <t>Average CPI Index</t>
  </si>
  <si>
    <t>Year</t>
  </si>
  <si>
    <t>Metric</t>
  </si>
  <si>
    <t>Value</t>
  </si>
  <si>
    <t>Highest Inflation Year</t>
  </si>
  <si>
    <t>Lowest Inflation Year</t>
  </si>
  <si>
    <t>Period</t>
  </si>
  <si>
    <t>Avg Inflation</t>
  </si>
  <si>
    <t>Pre-COVID (2015–2019)</t>
  </si>
  <si>
    <t>COVID (2020–2022)</t>
  </si>
  <si>
    <t>Post-COVID (2023–2024)</t>
  </si>
  <si>
    <t>KPI</t>
  </si>
  <si>
    <t>Pre-COVID</t>
  </si>
  <si>
    <t>COVID</t>
  </si>
  <si>
    <t>Post-COVID</t>
  </si>
  <si>
    <t>Food and Beverages</t>
  </si>
  <si>
    <t>Food and Beverages-Overall</t>
  </si>
  <si>
    <t>Fuel and Light</t>
  </si>
  <si>
    <t>Fuel and Light-Overall</t>
  </si>
  <si>
    <t>Food Inflation</t>
  </si>
  <si>
    <t>Fuel Inflation</t>
  </si>
  <si>
    <t>Inflation and Cost of Living Analysis in India (2015–2024)</t>
  </si>
  <si>
    <t>Objective</t>
  </si>
  <si>
    <t>To analyze inflation and cost-of-living trends in India from 2015–2024 using Consumer Price Index (CPI) data and evaluate the impact of COVID-19 on consumer prices.</t>
  </si>
  <si>
    <t>Key Findings</t>
  </si>
  <si>
    <t>• Average Inflation (2015–2024): 4.88%</t>
  </si>
  <si>
    <t>• Highest Inflation Year: 2022 (6.70%)</t>
  </si>
  <si>
    <t>• Lowest Inflation Year: 2017 (3.33%)</t>
  </si>
  <si>
    <t>• Pre-COVID Inflation: 4.18%</t>
  </si>
  <si>
    <t>• COVID-period Inflation: 5.78%</t>
  </si>
  <si>
    <t>• Post-COVID Inflation: 5.30%</t>
  </si>
  <si>
    <t>• Fuel Inflation was more volatile than Food Inflation.</t>
  </si>
  <si>
    <t>• Inflation remained elevated after COVID, indicating persistent cost-of-living pressures.</t>
  </si>
  <si>
    <t>Conclusion</t>
  </si>
  <si>
    <t>Data Source</t>
  </si>
  <si>
    <t>Ministry of Statistics and Programme Implementation (MoSPI), Consumer Price Index (CPI) Database.</t>
  </si>
  <si>
    <t>This study analyzed inflation and cost-of-living trends in India from 2015 to 2024 using Consumer Price Index (CPI) data obtained from MoSPI. The analysis revealed that inflation remained relatively moderate during the pre-COVID period but increased significantly during the pandemic years. The highest average inflation was recorded in 2022 (6.70%), while 2017 recorded the lowest average inflation (3.33%). Food and fuel inflation showed considerable fluctuations, with fuel inflation exhibiting higher volatility. The findings suggest that inflationary pressures persisted even after the pandemic, highlighting the importance of effective inflation management and price stabilization policies.</t>
  </si>
  <si>
    <t>Methodology</t>
  </si>
  <si>
    <t>Monthly CPI data for the period 2015–2024 was collected from the Ministry of Statistics and Programme Implementation (MoSPI). Data cleaning, aggregation, and analysis were performed using Microsoft Excel. Key performance indicators, annual inflation trends, Food vs Fuel inflation comparisons, and COVID-period analysis were developed using Excel formulas and dashboard visualizations.</t>
  </si>
  <si>
    <t>VALUE</t>
  </si>
  <si>
    <t>Inflation and Cost of Living Dashboard (2015–2024)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</si>
</sst>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x14ac:knownFonts="1">
    <font>
      <sz val="11"/>
      <color theme="1"/>
      <name val="Calibri"/>
      <family val="2"/>
      <scheme val="minor"/>
    </font>
    <font>
      <b/>
      <sz val="11"/>
      <color theme="1"/>
      <name val="Calibri"/>
      <family val="2"/>
      <scheme val="minor"/>
    </font>
    <font>
      <sz val="12"/>
      <color theme="1"/>
      <name val="Calibri"/>
      <family val="2"/>
      <scheme val="minor"/>
    </font>
    <font>
      <sz val="8"/>
      <name val="Calibri"/>
      <family val="2"/>
      <scheme val="minor"/>
    </font>
    <font>
      <b/>
      <sz val="16"/>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3" tint="0.39997558519241921"/>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23">
    <xf numFmtId="0" fontId="0" fillId="0" borderId="0" xfId="0"/>
    <xf numFmtId="0" fontId="2" fillId="0" borderId="0" xfId="1" applyAlignment="1">
      <alignment horizontal="left"/>
    </xf>
    <xf numFmtId="0" fontId="0" fillId="0" borderId="0" xfId="0" applyAlignment="1">
      <alignment horizontal="left"/>
    </xf>
    <xf numFmtId="164"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2" fontId="0" fillId="0" borderId="0" xfId="0" applyNumberFormat="1"/>
    <xf numFmtId="0" fontId="4" fillId="0" borderId="1" xfId="0" applyFont="1" applyBorder="1" applyAlignment="1">
      <alignment wrapText="1"/>
    </xf>
    <xf numFmtId="0" fontId="0" fillId="0" borderId="2" xfId="0" applyBorder="1" applyAlignment="1">
      <alignment wrapText="1"/>
    </xf>
    <xf numFmtId="0" fontId="5" fillId="0" borderId="2"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1" fillId="2" borderId="4" xfId="0" applyFont="1" applyFill="1" applyBorder="1" applyAlignment="1">
      <alignment wrapText="1"/>
    </xf>
    <xf numFmtId="0" fontId="1" fillId="2" borderId="4" xfId="0" applyFont="1" applyFill="1" applyBorder="1" applyAlignment="1">
      <alignment horizontal="center" vertical="center" wrapText="1"/>
    </xf>
    <xf numFmtId="10" fontId="1" fillId="2" borderId="4" xfId="0" applyNumberFormat="1" applyFont="1" applyFill="1" applyBorder="1" applyAlignment="1">
      <alignment vertical="center" wrapText="1"/>
    </xf>
    <xf numFmtId="0" fontId="1" fillId="2" borderId="4" xfId="0" applyFont="1" applyFill="1" applyBorder="1" applyAlignment="1">
      <alignment vertical="center" wrapText="1"/>
    </xf>
    <xf numFmtId="0" fontId="0" fillId="3" borderId="4" xfId="0" applyFill="1" applyBorder="1"/>
    <xf numFmtId="0" fontId="1" fillId="3" borderId="4" xfId="0" applyFont="1" applyFill="1" applyBorder="1" applyAlignment="1">
      <alignment horizontal="center" vertical="center" wrapText="1"/>
    </xf>
    <xf numFmtId="0" fontId="0" fillId="3" borderId="4" xfId="0" applyFill="1" applyBorder="1" applyAlignment="1">
      <alignment vertical="center" wrapText="1"/>
    </xf>
    <xf numFmtId="0" fontId="1" fillId="3" borderId="4" xfId="0" applyFont="1" applyFill="1" applyBorder="1" applyAlignment="1">
      <alignment horizontal="right" vertical="center" wrapText="1"/>
    </xf>
    <xf numFmtId="0" fontId="0" fillId="3" borderId="4" xfId="0" applyFill="1" applyBorder="1" applyAlignment="1">
      <alignment horizontal="right" vertical="center" wrapText="1"/>
    </xf>
    <xf numFmtId="0" fontId="4" fillId="0" borderId="0" xfId="0" applyFont="1"/>
    <xf numFmtId="0" fontId="0" fillId="0" borderId="3" xfId="0" applyBorder="1"/>
  </cellXfs>
  <cellStyles count="2">
    <cellStyle name="Normal" xfId="0" builtinId="0"/>
    <cellStyle name="Normal 2" xfId="1" xr:uid="{63E9D573-6D70-447F-9530-FC2B08085D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Annual Inflation in India (2015–2024)</a:t>
            </a:r>
          </a:p>
        </c:rich>
      </c:tx>
      <c:layout>
        <c:manualLayout>
          <c:xMode val="edge"/>
          <c:yMode val="edge"/>
          <c:x val="0.15527777777777776"/>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81714785651795"/>
          <c:y val="0.17171296296296298"/>
          <c:w val="0.85662729658792647"/>
          <c:h val="0.62271617089530473"/>
        </c:manualLayout>
      </c:layout>
      <c:barChart>
        <c:barDir val="col"/>
        <c:grouping val="clustered"/>
        <c:varyColors val="0"/>
        <c:ser>
          <c:idx val="0"/>
          <c:order val="0"/>
          <c:tx>
            <c:strRef>
              <c:f>Dashboard!$B$13</c:f>
              <c:strCache>
                <c:ptCount val="1"/>
                <c:pt idx="0">
                  <c:v>Average Inflation</c:v>
                </c:pt>
              </c:strCache>
            </c:strRef>
          </c:tx>
          <c:spPr>
            <a:solidFill>
              <a:schemeClr val="accent1"/>
            </a:solidFill>
            <a:ln>
              <a:noFill/>
            </a:ln>
            <a:effectLst/>
          </c:spPr>
          <c:invertIfNegative val="0"/>
          <c:cat>
            <c:numRef>
              <c:f>Dashboard!$A$14:$A$23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Dashboard!$B$14:$B$23</c:f>
              <c:numCache>
                <c:formatCode>General</c:formatCode>
                <c:ptCount val="10"/>
                <c:pt idx="0">
                  <c:v>4.9124999999999996</c:v>
                </c:pt>
                <c:pt idx="1">
                  <c:v>4.9608333333333325</c:v>
                </c:pt>
                <c:pt idx="2">
                  <c:v>3.3275000000000001</c:v>
                </c:pt>
                <c:pt idx="3">
                  <c:v>3.9616666666666664</c:v>
                </c:pt>
                <c:pt idx="4">
                  <c:v>3.7124999999999999</c:v>
                </c:pt>
                <c:pt idx="5">
                  <c:v>5.5049999999999999</c:v>
                </c:pt>
                <c:pt idx="6">
                  <c:v>5.1408333333333331</c:v>
                </c:pt>
                <c:pt idx="7">
                  <c:v>6.6966666666666663</c:v>
                </c:pt>
                <c:pt idx="8">
                  <c:v>5.6583333333333323</c:v>
                </c:pt>
                <c:pt idx="9">
                  <c:v>4.95</c:v>
                </c:pt>
              </c:numCache>
            </c:numRef>
          </c:val>
          <c:extLst>
            <c:ext xmlns:c16="http://schemas.microsoft.com/office/drawing/2014/chart" uri="{C3380CC4-5D6E-409C-BE32-E72D297353CC}">
              <c16:uniqueId val="{00000000-3137-4F1D-8D09-EE69AE7C923F}"/>
            </c:ext>
          </c:extLst>
        </c:ser>
        <c:dLbls>
          <c:showLegendKey val="0"/>
          <c:showVal val="0"/>
          <c:showCatName val="0"/>
          <c:showSerName val="0"/>
          <c:showPercent val="0"/>
          <c:showBubbleSize val="0"/>
        </c:dLbls>
        <c:gapWidth val="219"/>
        <c:overlap val="-27"/>
        <c:axId val="128723967"/>
        <c:axId val="128721087"/>
      </c:barChart>
      <c:catAx>
        <c:axId val="128723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21087"/>
        <c:crosses val="autoZero"/>
        <c:auto val="1"/>
        <c:lblAlgn val="ctr"/>
        <c:lblOffset val="100"/>
        <c:noMultiLvlLbl val="0"/>
      </c:catAx>
      <c:valAx>
        <c:axId val="128721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Inflation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23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Inflation Before, During and After COVID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Dashboard!$F$18</c:f>
              <c:strCache>
                <c:ptCount val="1"/>
                <c:pt idx="0">
                  <c:v>Avg Inflation</c:v>
                </c:pt>
              </c:strCache>
            </c:strRef>
          </c:tx>
          <c:spPr>
            <a:solidFill>
              <a:schemeClr val="accent1"/>
            </a:solidFill>
            <a:ln>
              <a:noFill/>
            </a:ln>
            <a:effectLst/>
          </c:spPr>
          <c:invertIfNegative val="0"/>
          <c:cat>
            <c:strRef>
              <c:f>Dashboard!$E$19:$E$21</c:f>
              <c:strCache>
                <c:ptCount val="3"/>
                <c:pt idx="0">
                  <c:v>Pre-COVID</c:v>
                </c:pt>
                <c:pt idx="1">
                  <c:v>COVID</c:v>
                </c:pt>
                <c:pt idx="2">
                  <c:v>Post-COVID</c:v>
                </c:pt>
              </c:strCache>
            </c:strRef>
          </c:cat>
          <c:val>
            <c:numRef>
              <c:f>Dashboard!$F$19:$F$21</c:f>
              <c:numCache>
                <c:formatCode>General</c:formatCode>
                <c:ptCount val="3"/>
                <c:pt idx="0">
                  <c:v>4.18</c:v>
                </c:pt>
                <c:pt idx="1">
                  <c:v>5.78</c:v>
                </c:pt>
                <c:pt idx="2">
                  <c:v>5.3</c:v>
                </c:pt>
              </c:numCache>
            </c:numRef>
          </c:val>
          <c:extLst>
            <c:ext xmlns:c16="http://schemas.microsoft.com/office/drawing/2014/chart" uri="{C3380CC4-5D6E-409C-BE32-E72D297353CC}">
              <c16:uniqueId val="{00000000-C690-4AC7-AF75-1F9C768C371E}"/>
            </c:ext>
          </c:extLst>
        </c:ser>
        <c:dLbls>
          <c:showLegendKey val="0"/>
          <c:showVal val="0"/>
          <c:showCatName val="0"/>
          <c:showSerName val="0"/>
          <c:showPercent val="0"/>
          <c:showBubbleSize val="0"/>
        </c:dLbls>
        <c:gapWidth val="219"/>
        <c:overlap val="-27"/>
        <c:axId val="128701887"/>
        <c:axId val="128711007"/>
      </c:barChart>
      <c:catAx>
        <c:axId val="12870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1007"/>
        <c:crosses val="autoZero"/>
        <c:auto val="1"/>
        <c:lblAlgn val="ctr"/>
        <c:lblOffset val="100"/>
        <c:noMultiLvlLbl val="0"/>
      </c:catAx>
      <c:valAx>
        <c:axId val="12871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Comparative Analysis of Food and Fuel Inflation in India (2015–2024)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Food_Fuel_Comparison!$B$1</c:f>
              <c:strCache>
                <c:ptCount val="1"/>
                <c:pt idx="0">
                  <c:v>Food Inflation</c:v>
                </c:pt>
              </c:strCache>
            </c:strRef>
          </c:tx>
          <c:spPr>
            <a:ln w="28575" cap="rnd">
              <a:solidFill>
                <a:schemeClr val="accent2"/>
              </a:solidFill>
              <a:round/>
            </a:ln>
            <a:effectLst/>
          </c:spPr>
          <c:marker>
            <c:symbol val="none"/>
          </c:marker>
          <c:val>
            <c:numRef>
              <c:f>Food_Fuel_Comparison!$B$2:$B$11</c:f>
              <c:numCache>
                <c:formatCode>General</c:formatCode>
                <c:ptCount val="10"/>
                <c:pt idx="0">
                  <c:v>5.2833333333333323</c:v>
                </c:pt>
                <c:pt idx="1">
                  <c:v>5.373333333333334</c:v>
                </c:pt>
                <c:pt idx="2">
                  <c:v>1.8224999999999998</c:v>
                </c:pt>
                <c:pt idx="3">
                  <c:v>1.7141666666666666</c:v>
                </c:pt>
                <c:pt idx="4">
                  <c:v>3.5741666666666667</c:v>
                </c:pt>
                <c:pt idx="5">
                  <c:v>8.6350000000000016</c:v>
                </c:pt>
                <c:pt idx="6">
                  <c:v>3.6891666666666674</c:v>
                </c:pt>
                <c:pt idx="7">
                  <c:v>6.8266666666666671</c:v>
                </c:pt>
                <c:pt idx="8">
                  <c:v>6.5691666666666668</c:v>
                </c:pt>
                <c:pt idx="9">
                  <c:v>7.6233333333333322</c:v>
                </c:pt>
              </c:numCache>
            </c:numRef>
          </c:val>
          <c:smooth val="0"/>
          <c:extLst>
            <c:ext xmlns:c16="http://schemas.microsoft.com/office/drawing/2014/chart" uri="{C3380CC4-5D6E-409C-BE32-E72D297353CC}">
              <c16:uniqueId val="{00000001-C2EF-47DD-860C-256555EC8CEE}"/>
            </c:ext>
          </c:extLst>
        </c:ser>
        <c:ser>
          <c:idx val="2"/>
          <c:order val="2"/>
          <c:tx>
            <c:strRef>
              <c:f>Food_Fuel_Comparison!$C$1</c:f>
              <c:strCache>
                <c:ptCount val="1"/>
                <c:pt idx="0">
                  <c:v>Fuel Inflation</c:v>
                </c:pt>
              </c:strCache>
            </c:strRef>
          </c:tx>
          <c:spPr>
            <a:ln w="28575" cap="rnd">
              <a:solidFill>
                <a:schemeClr val="accent3"/>
              </a:solidFill>
              <a:round/>
            </a:ln>
            <a:effectLst/>
          </c:spPr>
          <c:marker>
            <c:symbol val="none"/>
          </c:marker>
          <c:val>
            <c:numRef>
              <c:f>Food_Fuel_Comparison!$C$2:$C$11</c:f>
              <c:numCache>
                <c:formatCode>General</c:formatCode>
                <c:ptCount val="10"/>
                <c:pt idx="0">
                  <c:v>5.3024999999999993</c:v>
                </c:pt>
                <c:pt idx="1">
                  <c:v>3.3375000000000004</c:v>
                </c:pt>
                <c:pt idx="2">
                  <c:v>5.5583333333333336</c:v>
                </c:pt>
                <c:pt idx="3">
                  <c:v>6.9933333333333332</c:v>
                </c:pt>
                <c:pt idx="4">
                  <c:v>0.46333333333333337</c:v>
                </c:pt>
                <c:pt idx="5">
                  <c:v>3.242</c:v>
                </c:pt>
                <c:pt idx="6">
                  <c:v>10.157500000000001</c:v>
                </c:pt>
                <c:pt idx="7">
                  <c:v>10.025833333333333</c:v>
                </c:pt>
                <c:pt idx="8">
                  <c:v>4.1158333333333337</c:v>
                </c:pt>
                <c:pt idx="9">
                  <c:v>-2.7433333333333336</c:v>
                </c:pt>
              </c:numCache>
            </c:numRef>
          </c:val>
          <c:smooth val="0"/>
          <c:extLst>
            <c:ext xmlns:c16="http://schemas.microsoft.com/office/drawing/2014/chart" uri="{C3380CC4-5D6E-409C-BE32-E72D297353CC}">
              <c16:uniqueId val="{00000002-C2EF-47DD-860C-256555EC8CEE}"/>
            </c:ext>
          </c:extLst>
        </c:ser>
        <c:dLbls>
          <c:showLegendKey val="0"/>
          <c:showVal val="0"/>
          <c:showCatName val="0"/>
          <c:showSerName val="0"/>
          <c:showPercent val="0"/>
          <c:showBubbleSize val="0"/>
        </c:dLbls>
        <c:smooth val="0"/>
        <c:axId val="128677887"/>
        <c:axId val="128690367"/>
        <c:extLst>
          <c:ext xmlns:c15="http://schemas.microsoft.com/office/drawing/2012/chart" uri="{02D57815-91ED-43cb-92C2-25804820EDAC}">
            <c15:filteredLineSeries>
              <c15:ser>
                <c:idx val="0"/>
                <c:order val="0"/>
                <c:tx>
                  <c:strRef>
                    <c:extLst>
                      <c:ext uri="{02D57815-91ED-43cb-92C2-25804820EDAC}">
                        <c15:formulaRef>
                          <c15:sqref>Food_Fuel_Comparison!$A$1</c15:sqref>
                        </c15:formulaRef>
                      </c:ext>
                    </c:extLst>
                    <c:strCache>
                      <c:ptCount val="1"/>
                      <c:pt idx="0">
                        <c:v>Year</c:v>
                      </c:pt>
                    </c:strCache>
                  </c:strRef>
                </c:tx>
                <c:spPr>
                  <a:ln w="28575" cap="rnd">
                    <a:solidFill>
                      <a:schemeClr val="accent1"/>
                    </a:solidFill>
                    <a:round/>
                  </a:ln>
                  <a:effectLst/>
                </c:spPr>
                <c:marker>
                  <c:symbol val="none"/>
                </c:marker>
                <c:val>
                  <c:numRef>
                    <c:extLst>
                      <c:ext uri="{02D57815-91ED-43cb-92C2-25804820EDAC}">
                        <c15:formulaRef>
                          <c15:sqref>Food_Fuel_Comparison!$A$2:$A$11</c15:sqref>
                        </c15:formulaRef>
                      </c:ext>
                    </c:extLst>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val>
                <c:smooth val="0"/>
                <c:extLst>
                  <c:ext xmlns:c16="http://schemas.microsoft.com/office/drawing/2014/chart" uri="{C3380CC4-5D6E-409C-BE32-E72D297353CC}">
                    <c16:uniqueId val="{00000000-C2EF-47DD-860C-256555EC8CEE}"/>
                  </c:ext>
                </c:extLst>
              </c15:ser>
            </c15:filteredLineSeries>
          </c:ext>
        </c:extLst>
      </c:lineChart>
      <c:catAx>
        <c:axId val="1286778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0367"/>
        <c:crosses val="autoZero"/>
        <c:auto val="1"/>
        <c:lblAlgn val="ctr"/>
        <c:lblOffset val="100"/>
        <c:noMultiLvlLbl val="0"/>
      </c:catAx>
      <c:valAx>
        <c:axId val="12869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77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266700</xdr:colOff>
      <xdr:row>0</xdr:row>
      <xdr:rowOff>409575</xdr:rowOff>
    </xdr:from>
    <xdr:to>
      <xdr:col>18</xdr:col>
      <xdr:colOff>133350</xdr:colOff>
      <xdr:row>11</xdr:row>
      <xdr:rowOff>47625</xdr:rowOff>
    </xdr:to>
    <xdr:graphicFrame macro="">
      <xdr:nvGraphicFramePr>
        <xdr:cNvPr id="7" name="Chart 6">
          <a:extLst>
            <a:ext uri="{FF2B5EF4-FFF2-40B4-BE49-F238E27FC236}">
              <a16:creationId xmlns:a16="http://schemas.microsoft.com/office/drawing/2014/main" id="{5F73A816-3B88-39FA-3A75-E0326C350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142875</xdr:colOff>
      <xdr:row>10</xdr:row>
      <xdr:rowOff>314325</xdr:rowOff>
    </xdr:from>
    <xdr:to>
      <xdr:col>15</xdr:col>
      <xdr:colOff>447675</xdr:colOff>
      <xdr:row>22</xdr:row>
      <xdr:rowOff>180975</xdr:rowOff>
    </xdr:to>
    <xdr:graphicFrame macro="">
      <xdr:nvGraphicFramePr>
        <xdr:cNvPr id="9" name="Chart 8">
          <a:extLst>
            <a:ext uri="{FF2B5EF4-FFF2-40B4-BE49-F238E27FC236}">
              <a16:creationId xmlns:a16="http://schemas.microsoft.com/office/drawing/2014/main" id="{02EA5CDE-0F64-EF05-932F-F9378F0EA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438150</xdr:colOff>
      <xdr:row>6</xdr:row>
      <xdr:rowOff>66675</xdr:rowOff>
    </xdr:from>
    <xdr:to>
      <xdr:col>21</xdr:col>
      <xdr:colOff>57150</xdr:colOff>
      <xdr:row>30</xdr:row>
      <xdr:rowOff>0</xdr:rowOff>
    </xdr:to>
    <xdr:graphicFrame macro="">
      <xdr:nvGraphicFramePr>
        <xdr:cNvPr id="2" name="Chart 1">
          <a:extLst>
            <a:ext uri="{FF2B5EF4-FFF2-40B4-BE49-F238E27FC236}">
              <a16:creationId xmlns:a16="http://schemas.microsoft.com/office/drawing/2014/main" id="{FFFC1E6D-7343-3F62-60E8-789B458E9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A6F0-7E6E-4CC0-9821-A1EB3F581870}">
  <dimension ref="A1:K122"/>
  <sheetViews>
    <sheetView zoomScale="131" zoomScaleNormal="25"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2012</v>
      </c>
      <c r="B2">
        <v>2024</v>
      </c>
      <c r="C2">
        <v>12</v>
      </c>
      <c r="D2" t="s">
        <v>11</v>
      </c>
      <c r="E2" t="s">
        <v>12</v>
      </c>
      <c r="F2" t="s">
        <v>13</v>
      </c>
      <c r="G2" t="s">
        <v>14</v>
      </c>
      <c r="H2" t="s">
        <v>15</v>
      </c>
      <c r="I2">
        <v>195.4</v>
      </c>
      <c r="J2">
        <v>5.22</v>
      </c>
      <c r="K2" t="s">
        <v>16</v>
      </c>
    </row>
    <row r="3" spans="1:11" x14ac:dyDescent="0.25">
      <c r="A3">
        <v>2012</v>
      </c>
      <c r="B3">
        <v>2024</v>
      </c>
      <c r="C3">
        <v>11</v>
      </c>
      <c r="D3" t="s">
        <v>17</v>
      </c>
      <c r="E3" t="s">
        <v>12</v>
      </c>
      <c r="F3" t="s">
        <v>13</v>
      </c>
      <c r="G3" t="s">
        <v>14</v>
      </c>
      <c r="H3" t="s">
        <v>15</v>
      </c>
      <c r="I3">
        <v>196.5</v>
      </c>
      <c r="J3">
        <v>5.48</v>
      </c>
      <c r="K3" t="s">
        <v>16</v>
      </c>
    </row>
    <row r="4" spans="1:11" x14ac:dyDescent="0.25">
      <c r="A4">
        <v>2012</v>
      </c>
      <c r="B4">
        <v>2024</v>
      </c>
      <c r="C4">
        <v>10</v>
      </c>
      <c r="D4" t="s">
        <v>18</v>
      </c>
      <c r="E4" t="s">
        <v>12</v>
      </c>
      <c r="F4" t="s">
        <v>13</v>
      </c>
      <c r="G4" t="s">
        <v>14</v>
      </c>
      <c r="H4" t="s">
        <v>15</v>
      </c>
      <c r="I4">
        <v>196.8</v>
      </c>
      <c r="J4">
        <v>6.21</v>
      </c>
      <c r="K4" t="s">
        <v>16</v>
      </c>
    </row>
    <row r="5" spans="1:11" x14ac:dyDescent="0.25">
      <c r="A5">
        <v>2012</v>
      </c>
      <c r="B5">
        <v>2024</v>
      </c>
      <c r="C5">
        <v>9</v>
      </c>
      <c r="D5" t="s">
        <v>19</v>
      </c>
      <c r="E5" t="s">
        <v>12</v>
      </c>
      <c r="F5" t="s">
        <v>13</v>
      </c>
      <c r="G5" t="s">
        <v>14</v>
      </c>
      <c r="H5" t="s">
        <v>15</v>
      </c>
      <c r="I5">
        <v>194.2</v>
      </c>
      <c r="J5">
        <v>5.49</v>
      </c>
      <c r="K5" t="s">
        <v>16</v>
      </c>
    </row>
    <row r="6" spans="1:11" x14ac:dyDescent="0.25">
      <c r="A6">
        <v>2012</v>
      </c>
      <c r="B6">
        <v>2024</v>
      </c>
      <c r="C6">
        <v>8</v>
      </c>
      <c r="D6" t="s">
        <v>20</v>
      </c>
      <c r="E6" t="s">
        <v>12</v>
      </c>
      <c r="F6" t="s">
        <v>13</v>
      </c>
      <c r="G6" t="s">
        <v>14</v>
      </c>
      <c r="H6" t="s">
        <v>15</v>
      </c>
      <c r="I6">
        <v>193</v>
      </c>
      <c r="J6">
        <v>3.65</v>
      </c>
      <c r="K6" t="s">
        <v>16</v>
      </c>
    </row>
    <row r="7" spans="1:11" x14ac:dyDescent="0.25">
      <c r="A7">
        <v>2012</v>
      </c>
      <c r="B7">
        <v>2024</v>
      </c>
      <c r="C7">
        <v>7</v>
      </c>
      <c r="D7" t="s">
        <v>21</v>
      </c>
      <c r="E7" t="s">
        <v>12</v>
      </c>
      <c r="F7" t="s">
        <v>13</v>
      </c>
      <c r="G7" t="s">
        <v>14</v>
      </c>
      <c r="H7" t="s">
        <v>15</v>
      </c>
      <c r="I7">
        <v>193</v>
      </c>
      <c r="J7">
        <v>3.6</v>
      </c>
      <c r="K7" t="s">
        <v>16</v>
      </c>
    </row>
    <row r="8" spans="1:11" x14ac:dyDescent="0.25">
      <c r="A8">
        <v>2012</v>
      </c>
      <c r="B8">
        <v>2024</v>
      </c>
      <c r="C8">
        <v>6</v>
      </c>
      <c r="D8" t="s">
        <v>22</v>
      </c>
      <c r="E8" t="s">
        <v>12</v>
      </c>
      <c r="F8" t="s">
        <v>13</v>
      </c>
      <c r="G8" t="s">
        <v>14</v>
      </c>
      <c r="H8" t="s">
        <v>15</v>
      </c>
      <c r="I8">
        <v>190.2</v>
      </c>
      <c r="J8">
        <v>5.08</v>
      </c>
      <c r="K8" t="s">
        <v>16</v>
      </c>
    </row>
    <row r="9" spans="1:11" x14ac:dyDescent="0.25">
      <c r="A9">
        <v>2012</v>
      </c>
      <c r="B9">
        <v>2024</v>
      </c>
      <c r="C9">
        <v>5</v>
      </c>
      <c r="D9" t="s">
        <v>23</v>
      </c>
      <c r="E9" t="s">
        <v>12</v>
      </c>
      <c r="F9" t="s">
        <v>13</v>
      </c>
      <c r="G9" t="s">
        <v>14</v>
      </c>
      <c r="H9" t="s">
        <v>15</v>
      </c>
      <c r="I9">
        <v>187.7</v>
      </c>
      <c r="J9">
        <v>4.8</v>
      </c>
      <c r="K9" t="s">
        <v>16</v>
      </c>
    </row>
    <row r="10" spans="1:11" x14ac:dyDescent="0.25">
      <c r="A10">
        <v>2012</v>
      </c>
      <c r="B10">
        <v>2024</v>
      </c>
      <c r="C10">
        <v>4</v>
      </c>
      <c r="D10" t="s">
        <v>24</v>
      </c>
      <c r="E10" t="s">
        <v>12</v>
      </c>
      <c r="F10" t="s">
        <v>13</v>
      </c>
      <c r="G10" t="s">
        <v>14</v>
      </c>
      <c r="H10" t="s">
        <v>15</v>
      </c>
      <c r="I10">
        <v>186.7</v>
      </c>
      <c r="J10">
        <v>4.83</v>
      </c>
      <c r="K10" t="s">
        <v>16</v>
      </c>
    </row>
    <row r="11" spans="1:11" x14ac:dyDescent="0.25">
      <c r="A11">
        <v>2012</v>
      </c>
      <c r="B11">
        <v>2024</v>
      </c>
      <c r="C11">
        <v>3</v>
      </c>
      <c r="D11" t="s">
        <v>25</v>
      </c>
      <c r="E11" t="s">
        <v>12</v>
      </c>
      <c r="F11" t="s">
        <v>13</v>
      </c>
      <c r="G11" t="s">
        <v>14</v>
      </c>
      <c r="H11" t="s">
        <v>15</v>
      </c>
      <c r="I11">
        <v>185.8</v>
      </c>
      <c r="J11">
        <v>4.8499999999999996</v>
      </c>
      <c r="K11" t="s">
        <v>16</v>
      </c>
    </row>
    <row r="12" spans="1:11" x14ac:dyDescent="0.25">
      <c r="A12">
        <v>2012</v>
      </c>
      <c r="B12">
        <v>2024</v>
      </c>
      <c r="C12">
        <v>2</v>
      </c>
      <c r="D12" t="s">
        <v>26</v>
      </c>
      <c r="E12" t="s">
        <v>12</v>
      </c>
      <c r="F12" t="s">
        <v>13</v>
      </c>
      <c r="G12" t="s">
        <v>14</v>
      </c>
      <c r="H12" t="s">
        <v>15</v>
      </c>
      <c r="I12">
        <v>185.8</v>
      </c>
      <c r="J12">
        <v>5.09</v>
      </c>
      <c r="K12" t="s">
        <v>16</v>
      </c>
    </row>
    <row r="13" spans="1:11" x14ac:dyDescent="0.25">
      <c r="A13">
        <v>2012</v>
      </c>
      <c r="B13">
        <v>2024</v>
      </c>
      <c r="C13">
        <v>1</v>
      </c>
      <c r="D13" t="s">
        <v>27</v>
      </c>
      <c r="E13" t="s">
        <v>12</v>
      </c>
      <c r="F13" t="s">
        <v>13</v>
      </c>
      <c r="G13" t="s">
        <v>14</v>
      </c>
      <c r="H13" t="s">
        <v>15</v>
      </c>
      <c r="I13">
        <v>185.5</v>
      </c>
      <c r="J13">
        <v>5.0999999999999996</v>
      </c>
      <c r="K13" t="s">
        <v>16</v>
      </c>
    </row>
    <row r="14" spans="1:11" x14ac:dyDescent="0.25">
      <c r="A14">
        <v>2012</v>
      </c>
      <c r="B14">
        <v>2023</v>
      </c>
      <c r="C14">
        <v>12</v>
      </c>
      <c r="D14" t="s">
        <v>11</v>
      </c>
      <c r="E14" t="s">
        <v>12</v>
      </c>
      <c r="F14" t="s">
        <v>13</v>
      </c>
      <c r="G14" t="s">
        <v>14</v>
      </c>
      <c r="H14" t="s">
        <v>15</v>
      </c>
      <c r="I14">
        <v>185.7</v>
      </c>
      <c r="J14">
        <v>5.69</v>
      </c>
      <c r="K14" t="s">
        <v>16</v>
      </c>
    </row>
    <row r="15" spans="1:11" x14ac:dyDescent="0.25">
      <c r="A15">
        <v>2012</v>
      </c>
      <c r="B15">
        <v>2023</v>
      </c>
      <c r="C15">
        <v>11</v>
      </c>
      <c r="D15" t="s">
        <v>17</v>
      </c>
      <c r="E15" t="s">
        <v>12</v>
      </c>
      <c r="F15" t="s">
        <v>13</v>
      </c>
      <c r="G15" t="s">
        <v>14</v>
      </c>
      <c r="H15" t="s">
        <v>15</v>
      </c>
      <c r="I15">
        <v>186.3</v>
      </c>
      <c r="J15">
        <v>5.55</v>
      </c>
      <c r="K15" t="s">
        <v>16</v>
      </c>
    </row>
    <row r="16" spans="1:11" x14ac:dyDescent="0.25">
      <c r="A16">
        <v>2012</v>
      </c>
      <c r="B16">
        <v>2023</v>
      </c>
      <c r="C16">
        <v>10</v>
      </c>
      <c r="D16" t="s">
        <v>18</v>
      </c>
      <c r="E16" t="s">
        <v>12</v>
      </c>
      <c r="F16" t="s">
        <v>13</v>
      </c>
      <c r="G16" t="s">
        <v>14</v>
      </c>
      <c r="H16" t="s">
        <v>15</v>
      </c>
      <c r="I16">
        <v>185.3</v>
      </c>
      <c r="J16">
        <v>4.87</v>
      </c>
      <c r="K16" t="s">
        <v>16</v>
      </c>
    </row>
    <row r="17" spans="1:11" x14ac:dyDescent="0.25">
      <c r="A17">
        <v>2012</v>
      </c>
      <c r="B17">
        <v>2023</v>
      </c>
      <c r="C17">
        <v>9</v>
      </c>
      <c r="D17" t="s">
        <v>19</v>
      </c>
      <c r="E17" t="s">
        <v>12</v>
      </c>
      <c r="F17" t="s">
        <v>13</v>
      </c>
      <c r="G17" t="s">
        <v>14</v>
      </c>
      <c r="H17" t="s">
        <v>15</v>
      </c>
      <c r="I17">
        <v>184.1</v>
      </c>
      <c r="J17">
        <v>5.0199999999999996</v>
      </c>
      <c r="K17" t="s">
        <v>16</v>
      </c>
    </row>
    <row r="18" spans="1:11" x14ac:dyDescent="0.25">
      <c r="A18">
        <v>2012</v>
      </c>
      <c r="B18">
        <v>2023</v>
      </c>
      <c r="C18">
        <v>8</v>
      </c>
      <c r="D18" t="s">
        <v>20</v>
      </c>
      <c r="E18" t="s">
        <v>12</v>
      </c>
      <c r="F18" t="s">
        <v>13</v>
      </c>
      <c r="G18" t="s">
        <v>14</v>
      </c>
      <c r="H18" t="s">
        <v>15</v>
      </c>
      <c r="I18">
        <v>186.2</v>
      </c>
      <c r="J18">
        <v>6.83</v>
      </c>
      <c r="K18" t="s">
        <v>16</v>
      </c>
    </row>
    <row r="19" spans="1:11" x14ac:dyDescent="0.25">
      <c r="A19">
        <v>2012</v>
      </c>
      <c r="B19">
        <v>2023</v>
      </c>
      <c r="C19">
        <v>7</v>
      </c>
      <c r="D19" t="s">
        <v>21</v>
      </c>
      <c r="E19" t="s">
        <v>12</v>
      </c>
      <c r="F19" t="s">
        <v>13</v>
      </c>
      <c r="G19" t="s">
        <v>14</v>
      </c>
      <c r="H19" t="s">
        <v>15</v>
      </c>
      <c r="I19">
        <v>186.3</v>
      </c>
      <c r="J19">
        <v>7.44</v>
      </c>
      <c r="K19" t="s">
        <v>16</v>
      </c>
    </row>
    <row r="20" spans="1:11" x14ac:dyDescent="0.25">
      <c r="A20">
        <v>2012</v>
      </c>
      <c r="B20">
        <v>2023</v>
      </c>
      <c r="C20">
        <v>6</v>
      </c>
      <c r="D20" t="s">
        <v>22</v>
      </c>
      <c r="E20" t="s">
        <v>12</v>
      </c>
      <c r="F20" t="s">
        <v>13</v>
      </c>
      <c r="G20" t="s">
        <v>14</v>
      </c>
      <c r="H20" t="s">
        <v>15</v>
      </c>
      <c r="I20">
        <v>181</v>
      </c>
      <c r="J20">
        <v>4.87</v>
      </c>
      <c r="K20" t="s">
        <v>16</v>
      </c>
    </row>
    <row r="21" spans="1:11" x14ac:dyDescent="0.25">
      <c r="A21">
        <v>2012</v>
      </c>
      <c r="B21">
        <v>2023</v>
      </c>
      <c r="C21">
        <v>5</v>
      </c>
      <c r="D21" t="s">
        <v>23</v>
      </c>
      <c r="E21" t="s">
        <v>12</v>
      </c>
      <c r="F21" t="s">
        <v>13</v>
      </c>
      <c r="G21" t="s">
        <v>14</v>
      </c>
      <c r="H21" t="s">
        <v>15</v>
      </c>
      <c r="I21">
        <v>179.1</v>
      </c>
      <c r="J21">
        <v>4.3099999999999996</v>
      </c>
      <c r="K21" t="s">
        <v>16</v>
      </c>
    </row>
    <row r="22" spans="1:11" x14ac:dyDescent="0.25">
      <c r="A22">
        <v>2012</v>
      </c>
      <c r="B22">
        <v>2023</v>
      </c>
      <c r="C22">
        <v>4</v>
      </c>
      <c r="D22" t="s">
        <v>24</v>
      </c>
      <c r="E22" t="s">
        <v>12</v>
      </c>
      <c r="F22" t="s">
        <v>13</v>
      </c>
      <c r="G22" t="s">
        <v>14</v>
      </c>
      <c r="H22" t="s">
        <v>15</v>
      </c>
      <c r="I22">
        <v>178.1</v>
      </c>
      <c r="J22">
        <v>4.7</v>
      </c>
      <c r="K22" t="s">
        <v>16</v>
      </c>
    </row>
    <row r="23" spans="1:11" x14ac:dyDescent="0.25">
      <c r="A23">
        <v>2012</v>
      </c>
      <c r="B23">
        <v>2023</v>
      </c>
      <c r="C23">
        <v>3</v>
      </c>
      <c r="D23" t="s">
        <v>25</v>
      </c>
      <c r="E23" t="s">
        <v>12</v>
      </c>
      <c r="F23" t="s">
        <v>13</v>
      </c>
      <c r="G23" t="s">
        <v>14</v>
      </c>
      <c r="H23" t="s">
        <v>15</v>
      </c>
      <c r="I23">
        <v>177.2</v>
      </c>
      <c r="J23">
        <v>5.66</v>
      </c>
      <c r="K23" t="s">
        <v>16</v>
      </c>
    </row>
    <row r="24" spans="1:11" x14ac:dyDescent="0.25">
      <c r="A24">
        <v>2012</v>
      </c>
      <c r="B24">
        <v>2023</v>
      </c>
      <c r="C24">
        <v>2</v>
      </c>
      <c r="D24" t="s">
        <v>26</v>
      </c>
      <c r="E24" t="s">
        <v>12</v>
      </c>
      <c r="F24" t="s">
        <v>13</v>
      </c>
      <c r="G24" t="s">
        <v>14</v>
      </c>
      <c r="H24" t="s">
        <v>15</v>
      </c>
      <c r="I24">
        <v>176.8</v>
      </c>
      <c r="J24">
        <v>6.44</v>
      </c>
      <c r="K24" t="s">
        <v>16</v>
      </c>
    </row>
    <row r="25" spans="1:11" x14ac:dyDescent="0.25">
      <c r="A25">
        <v>2012</v>
      </c>
      <c r="B25">
        <v>2023</v>
      </c>
      <c r="C25">
        <v>1</v>
      </c>
      <c r="D25" t="s">
        <v>27</v>
      </c>
      <c r="E25" t="s">
        <v>12</v>
      </c>
      <c r="F25" t="s">
        <v>13</v>
      </c>
      <c r="G25" t="s">
        <v>14</v>
      </c>
      <c r="H25" t="s">
        <v>15</v>
      </c>
      <c r="I25">
        <v>176.5</v>
      </c>
      <c r="J25">
        <v>6.52</v>
      </c>
      <c r="K25" t="s">
        <v>16</v>
      </c>
    </row>
    <row r="26" spans="1:11" x14ac:dyDescent="0.25">
      <c r="A26">
        <v>2012</v>
      </c>
      <c r="B26">
        <v>2022</v>
      </c>
      <c r="C26">
        <v>12</v>
      </c>
      <c r="D26" t="s">
        <v>11</v>
      </c>
      <c r="E26" t="s">
        <v>12</v>
      </c>
      <c r="F26" t="s">
        <v>13</v>
      </c>
      <c r="G26" t="s">
        <v>14</v>
      </c>
      <c r="H26" t="s">
        <v>15</v>
      </c>
      <c r="I26">
        <v>175.7</v>
      </c>
      <c r="J26">
        <v>5.72</v>
      </c>
      <c r="K26" t="s">
        <v>16</v>
      </c>
    </row>
    <row r="27" spans="1:11" x14ac:dyDescent="0.25">
      <c r="A27">
        <v>2012</v>
      </c>
      <c r="B27">
        <v>2022</v>
      </c>
      <c r="C27">
        <v>11</v>
      </c>
      <c r="D27" t="s">
        <v>17</v>
      </c>
      <c r="E27" t="s">
        <v>12</v>
      </c>
      <c r="F27" t="s">
        <v>13</v>
      </c>
      <c r="G27" t="s">
        <v>14</v>
      </c>
      <c r="H27" t="s">
        <v>15</v>
      </c>
      <c r="I27">
        <v>176.5</v>
      </c>
      <c r="J27">
        <v>5.88</v>
      </c>
      <c r="K27" t="s">
        <v>16</v>
      </c>
    </row>
    <row r="28" spans="1:11" x14ac:dyDescent="0.25">
      <c r="A28">
        <v>2012</v>
      </c>
      <c r="B28">
        <v>2022</v>
      </c>
      <c r="C28">
        <v>10</v>
      </c>
      <c r="D28" t="s">
        <v>18</v>
      </c>
      <c r="E28" t="s">
        <v>12</v>
      </c>
      <c r="F28" t="s">
        <v>13</v>
      </c>
      <c r="G28" t="s">
        <v>14</v>
      </c>
      <c r="H28" t="s">
        <v>15</v>
      </c>
      <c r="I28">
        <v>176.7</v>
      </c>
      <c r="J28">
        <v>6.77</v>
      </c>
      <c r="K28" t="s">
        <v>16</v>
      </c>
    </row>
    <row r="29" spans="1:11" x14ac:dyDescent="0.25">
      <c r="A29">
        <v>2012</v>
      </c>
      <c r="B29">
        <v>2022</v>
      </c>
      <c r="C29">
        <v>9</v>
      </c>
      <c r="D29" t="s">
        <v>19</v>
      </c>
      <c r="E29" t="s">
        <v>12</v>
      </c>
      <c r="F29" t="s">
        <v>13</v>
      </c>
      <c r="G29" t="s">
        <v>14</v>
      </c>
      <c r="H29" t="s">
        <v>15</v>
      </c>
      <c r="I29">
        <v>175.3</v>
      </c>
      <c r="J29">
        <v>7.41</v>
      </c>
      <c r="K29" t="s">
        <v>16</v>
      </c>
    </row>
    <row r="30" spans="1:11" x14ac:dyDescent="0.25">
      <c r="A30">
        <v>2012</v>
      </c>
      <c r="B30">
        <v>2022</v>
      </c>
      <c r="C30">
        <v>8</v>
      </c>
      <c r="D30" t="s">
        <v>20</v>
      </c>
      <c r="E30" t="s">
        <v>12</v>
      </c>
      <c r="F30" t="s">
        <v>13</v>
      </c>
      <c r="G30" t="s">
        <v>14</v>
      </c>
      <c r="H30" t="s">
        <v>15</v>
      </c>
      <c r="I30">
        <v>174.3</v>
      </c>
      <c r="J30">
        <v>7</v>
      </c>
      <c r="K30" t="s">
        <v>16</v>
      </c>
    </row>
    <row r="31" spans="1:11" x14ac:dyDescent="0.25">
      <c r="A31">
        <v>2012</v>
      </c>
      <c r="B31">
        <v>2022</v>
      </c>
      <c r="C31">
        <v>7</v>
      </c>
      <c r="D31" t="s">
        <v>21</v>
      </c>
      <c r="E31" t="s">
        <v>12</v>
      </c>
      <c r="F31" t="s">
        <v>13</v>
      </c>
      <c r="G31" t="s">
        <v>14</v>
      </c>
      <c r="H31" t="s">
        <v>15</v>
      </c>
      <c r="I31">
        <v>173.4</v>
      </c>
      <c r="J31">
        <v>6.71</v>
      </c>
      <c r="K31" t="s">
        <v>16</v>
      </c>
    </row>
    <row r="32" spans="1:11" x14ac:dyDescent="0.25">
      <c r="A32">
        <v>2012</v>
      </c>
      <c r="B32">
        <v>2022</v>
      </c>
      <c r="C32">
        <v>6</v>
      </c>
      <c r="D32" t="s">
        <v>22</v>
      </c>
      <c r="E32" t="s">
        <v>12</v>
      </c>
      <c r="F32" t="s">
        <v>13</v>
      </c>
      <c r="G32" t="s">
        <v>14</v>
      </c>
      <c r="H32" t="s">
        <v>15</v>
      </c>
      <c r="I32">
        <v>172.6</v>
      </c>
      <c r="J32">
        <v>7.01</v>
      </c>
      <c r="K32" t="s">
        <v>16</v>
      </c>
    </row>
    <row r="33" spans="1:11" x14ac:dyDescent="0.25">
      <c r="A33">
        <v>2012</v>
      </c>
      <c r="B33">
        <v>2022</v>
      </c>
      <c r="C33">
        <v>5</v>
      </c>
      <c r="D33" t="s">
        <v>23</v>
      </c>
      <c r="E33" t="s">
        <v>12</v>
      </c>
      <c r="F33" t="s">
        <v>13</v>
      </c>
      <c r="G33" t="s">
        <v>14</v>
      </c>
      <c r="H33" t="s">
        <v>15</v>
      </c>
      <c r="I33">
        <v>171.7</v>
      </c>
      <c r="J33">
        <v>7.04</v>
      </c>
      <c r="K33" t="s">
        <v>16</v>
      </c>
    </row>
    <row r="34" spans="1:11" x14ac:dyDescent="0.25">
      <c r="A34">
        <v>2012</v>
      </c>
      <c r="B34">
        <v>2022</v>
      </c>
      <c r="C34">
        <v>4</v>
      </c>
      <c r="D34" t="s">
        <v>24</v>
      </c>
      <c r="E34" t="s">
        <v>12</v>
      </c>
      <c r="F34" t="s">
        <v>13</v>
      </c>
      <c r="G34" t="s">
        <v>14</v>
      </c>
      <c r="H34" t="s">
        <v>15</v>
      </c>
      <c r="I34">
        <v>170.1</v>
      </c>
      <c r="J34">
        <v>7.79</v>
      </c>
      <c r="K34" t="s">
        <v>16</v>
      </c>
    </row>
    <row r="35" spans="1:11" x14ac:dyDescent="0.25">
      <c r="A35">
        <v>2012</v>
      </c>
      <c r="B35">
        <v>2022</v>
      </c>
      <c r="C35">
        <v>3</v>
      </c>
      <c r="D35" t="s">
        <v>25</v>
      </c>
      <c r="E35" t="s">
        <v>12</v>
      </c>
      <c r="F35" t="s">
        <v>13</v>
      </c>
      <c r="G35" t="s">
        <v>14</v>
      </c>
      <c r="H35" t="s">
        <v>15</v>
      </c>
      <c r="I35">
        <v>167.7</v>
      </c>
      <c r="J35">
        <v>6.95</v>
      </c>
      <c r="K35" t="s">
        <v>16</v>
      </c>
    </row>
    <row r="36" spans="1:11" x14ac:dyDescent="0.25">
      <c r="A36">
        <v>2012</v>
      </c>
      <c r="B36">
        <v>2022</v>
      </c>
      <c r="C36">
        <v>2</v>
      </c>
      <c r="D36" t="s">
        <v>26</v>
      </c>
      <c r="E36" t="s">
        <v>12</v>
      </c>
      <c r="F36" t="s">
        <v>13</v>
      </c>
      <c r="G36" t="s">
        <v>14</v>
      </c>
      <c r="H36" t="s">
        <v>15</v>
      </c>
      <c r="I36">
        <v>166.1</v>
      </c>
      <c r="J36">
        <v>6.07</v>
      </c>
      <c r="K36" t="s">
        <v>16</v>
      </c>
    </row>
    <row r="37" spans="1:11" x14ac:dyDescent="0.25">
      <c r="A37">
        <v>2012</v>
      </c>
      <c r="B37">
        <v>2022</v>
      </c>
      <c r="C37">
        <v>1</v>
      </c>
      <c r="D37" t="s">
        <v>27</v>
      </c>
      <c r="E37" t="s">
        <v>12</v>
      </c>
      <c r="F37" t="s">
        <v>13</v>
      </c>
      <c r="G37" t="s">
        <v>14</v>
      </c>
      <c r="H37" t="s">
        <v>15</v>
      </c>
      <c r="I37">
        <v>165.7</v>
      </c>
      <c r="J37">
        <v>6.01</v>
      </c>
      <c r="K37" t="s">
        <v>16</v>
      </c>
    </row>
    <row r="38" spans="1:11" x14ac:dyDescent="0.25">
      <c r="A38">
        <v>2012</v>
      </c>
      <c r="B38">
        <v>2021</v>
      </c>
      <c r="C38">
        <v>12</v>
      </c>
      <c r="D38" t="s">
        <v>11</v>
      </c>
      <c r="E38" t="s">
        <v>12</v>
      </c>
      <c r="F38" t="s">
        <v>13</v>
      </c>
      <c r="G38" t="s">
        <v>14</v>
      </c>
      <c r="H38" t="s">
        <v>15</v>
      </c>
      <c r="I38">
        <v>166.2</v>
      </c>
      <c r="J38">
        <v>5.66</v>
      </c>
      <c r="K38" t="s">
        <v>16</v>
      </c>
    </row>
    <row r="39" spans="1:11" x14ac:dyDescent="0.25">
      <c r="A39">
        <v>2012</v>
      </c>
      <c r="B39">
        <v>2021</v>
      </c>
      <c r="C39">
        <v>11</v>
      </c>
      <c r="D39" t="s">
        <v>17</v>
      </c>
      <c r="E39" t="s">
        <v>12</v>
      </c>
      <c r="F39" t="s">
        <v>13</v>
      </c>
      <c r="G39" t="s">
        <v>14</v>
      </c>
      <c r="H39" t="s">
        <v>15</v>
      </c>
      <c r="I39">
        <v>166.7</v>
      </c>
      <c r="J39">
        <v>4.91</v>
      </c>
      <c r="K39" t="s">
        <v>16</v>
      </c>
    </row>
    <row r="40" spans="1:11" x14ac:dyDescent="0.25">
      <c r="A40">
        <v>2012</v>
      </c>
      <c r="B40">
        <v>2021</v>
      </c>
      <c r="C40">
        <v>10</v>
      </c>
      <c r="D40" t="s">
        <v>18</v>
      </c>
      <c r="E40" t="s">
        <v>12</v>
      </c>
      <c r="F40" t="s">
        <v>13</v>
      </c>
      <c r="G40" t="s">
        <v>14</v>
      </c>
      <c r="H40" t="s">
        <v>15</v>
      </c>
      <c r="I40">
        <v>165.5</v>
      </c>
      <c r="J40">
        <v>4.4800000000000004</v>
      </c>
      <c r="K40" t="s">
        <v>16</v>
      </c>
    </row>
    <row r="41" spans="1:11" x14ac:dyDescent="0.25">
      <c r="A41">
        <v>2012</v>
      </c>
      <c r="B41">
        <v>2021</v>
      </c>
      <c r="C41">
        <v>9</v>
      </c>
      <c r="D41" t="s">
        <v>19</v>
      </c>
      <c r="E41" t="s">
        <v>12</v>
      </c>
      <c r="F41" t="s">
        <v>13</v>
      </c>
      <c r="G41" t="s">
        <v>14</v>
      </c>
      <c r="H41" t="s">
        <v>15</v>
      </c>
      <c r="I41">
        <v>163.19999999999999</v>
      </c>
      <c r="J41">
        <v>4.3499999999999996</v>
      </c>
      <c r="K41" t="s">
        <v>16</v>
      </c>
    </row>
    <row r="42" spans="1:11" x14ac:dyDescent="0.25">
      <c r="A42">
        <v>2012</v>
      </c>
      <c r="B42">
        <v>2021</v>
      </c>
      <c r="C42">
        <v>8</v>
      </c>
      <c r="D42" t="s">
        <v>20</v>
      </c>
      <c r="E42" t="s">
        <v>12</v>
      </c>
      <c r="F42" t="s">
        <v>13</v>
      </c>
      <c r="G42" t="s">
        <v>14</v>
      </c>
      <c r="H42" t="s">
        <v>15</v>
      </c>
      <c r="I42">
        <v>162.9</v>
      </c>
      <c r="J42">
        <v>5.3</v>
      </c>
      <c r="K42" t="s">
        <v>16</v>
      </c>
    </row>
    <row r="43" spans="1:11" x14ac:dyDescent="0.25">
      <c r="A43">
        <v>2012</v>
      </c>
      <c r="B43">
        <v>2021</v>
      </c>
      <c r="C43">
        <v>7</v>
      </c>
      <c r="D43" t="s">
        <v>21</v>
      </c>
      <c r="E43" t="s">
        <v>12</v>
      </c>
      <c r="F43" t="s">
        <v>13</v>
      </c>
      <c r="G43" t="s">
        <v>14</v>
      </c>
      <c r="H43" t="s">
        <v>15</v>
      </c>
      <c r="I43">
        <v>162.5</v>
      </c>
      <c r="J43">
        <v>5.59</v>
      </c>
      <c r="K43" t="s">
        <v>16</v>
      </c>
    </row>
    <row r="44" spans="1:11" x14ac:dyDescent="0.25">
      <c r="A44">
        <v>2012</v>
      </c>
      <c r="B44">
        <v>2021</v>
      </c>
      <c r="C44">
        <v>6</v>
      </c>
      <c r="D44" t="s">
        <v>22</v>
      </c>
      <c r="E44" t="s">
        <v>12</v>
      </c>
      <c r="F44" t="s">
        <v>13</v>
      </c>
      <c r="G44" t="s">
        <v>14</v>
      </c>
      <c r="H44" t="s">
        <v>15</v>
      </c>
      <c r="I44">
        <v>161.30000000000001</v>
      </c>
      <c r="J44">
        <v>6.26</v>
      </c>
      <c r="K44" t="s">
        <v>16</v>
      </c>
    </row>
    <row r="45" spans="1:11" x14ac:dyDescent="0.25">
      <c r="A45">
        <v>2012</v>
      </c>
      <c r="B45">
        <v>2021</v>
      </c>
      <c r="C45">
        <v>5</v>
      </c>
      <c r="D45" t="s">
        <v>23</v>
      </c>
      <c r="E45" t="s">
        <v>12</v>
      </c>
      <c r="F45" t="s">
        <v>13</v>
      </c>
      <c r="G45" t="s">
        <v>14</v>
      </c>
      <c r="H45" t="s">
        <v>15</v>
      </c>
      <c r="I45">
        <v>160.4</v>
      </c>
      <c r="J45">
        <v>6.3</v>
      </c>
      <c r="K45" t="s">
        <v>16</v>
      </c>
    </row>
    <row r="46" spans="1:11" x14ac:dyDescent="0.25">
      <c r="A46">
        <v>2012</v>
      </c>
      <c r="B46">
        <v>2021</v>
      </c>
      <c r="C46">
        <v>4</v>
      </c>
      <c r="D46" t="s">
        <v>24</v>
      </c>
      <c r="E46" t="s">
        <v>12</v>
      </c>
      <c r="F46" t="s">
        <v>13</v>
      </c>
      <c r="G46" t="s">
        <v>14</v>
      </c>
      <c r="H46" t="s">
        <v>15</v>
      </c>
      <c r="I46">
        <v>157.80000000000001</v>
      </c>
      <c r="J46">
        <v>4.2300000000000004</v>
      </c>
      <c r="K46" t="s">
        <v>16</v>
      </c>
    </row>
    <row r="47" spans="1:11" x14ac:dyDescent="0.25">
      <c r="A47">
        <v>2012</v>
      </c>
      <c r="B47">
        <v>2021</v>
      </c>
      <c r="C47">
        <v>3</v>
      </c>
      <c r="D47" t="s">
        <v>25</v>
      </c>
      <c r="E47" t="s">
        <v>12</v>
      </c>
      <c r="F47" t="s">
        <v>13</v>
      </c>
      <c r="G47" t="s">
        <v>14</v>
      </c>
      <c r="H47" t="s">
        <v>15</v>
      </c>
      <c r="I47">
        <v>156.80000000000001</v>
      </c>
      <c r="J47">
        <v>5.52</v>
      </c>
      <c r="K47" t="s">
        <v>16</v>
      </c>
    </row>
    <row r="48" spans="1:11" x14ac:dyDescent="0.25">
      <c r="A48">
        <v>2012</v>
      </c>
      <c r="B48">
        <v>2021</v>
      </c>
      <c r="C48">
        <v>2</v>
      </c>
      <c r="D48" t="s">
        <v>26</v>
      </c>
      <c r="E48" t="s">
        <v>12</v>
      </c>
      <c r="F48" t="s">
        <v>13</v>
      </c>
      <c r="G48" t="s">
        <v>14</v>
      </c>
      <c r="H48" t="s">
        <v>15</v>
      </c>
      <c r="I48">
        <v>156.6</v>
      </c>
      <c r="J48">
        <v>5.03</v>
      </c>
      <c r="K48" t="s">
        <v>16</v>
      </c>
    </row>
    <row r="49" spans="1:11" x14ac:dyDescent="0.25">
      <c r="A49">
        <v>2012</v>
      </c>
      <c r="B49">
        <v>2021</v>
      </c>
      <c r="C49">
        <v>1</v>
      </c>
      <c r="D49" t="s">
        <v>27</v>
      </c>
      <c r="E49" t="s">
        <v>12</v>
      </c>
      <c r="F49" t="s">
        <v>13</v>
      </c>
      <c r="G49" t="s">
        <v>14</v>
      </c>
      <c r="H49" t="s">
        <v>15</v>
      </c>
      <c r="I49">
        <v>156.30000000000001</v>
      </c>
      <c r="J49">
        <v>4.0599999999999996</v>
      </c>
      <c r="K49" t="s">
        <v>16</v>
      </c>
    </row>
    <row r="50" spans="1:11" x14ac:dyDescent="0.25">
      <c r="A50">
        <v>2012</v>
      </c>
      <c r="B50">
        <v>2020</v>
      </c>
      <c r="C50">
        <v>12</v>
      </c>
      <c r="D50" t="s">
        <v>11</v>
      </c>
      <c r="E50" t="s">
        <v>12</v>
      </c>
      <c r="F50" t="s">
        <v>13</v>
      </c>
      <c r="G50" t="s">
        <v>14</v>
      </c>
      <c r="H50" t="s">
        <v>15</v>
      </c>
      <c r="I50">
        <v>157.30000000000001</v>
      </c>
      <c r="J50">
        <v>4.59</v>
      </c>
      <c r="K50" t="s">
        <v>16</v>
      </c>
    </row>
    <row r="51" spans="1:11" x14ac:dyDescent="0.25">
      <c r="A51">
        <v>2012</v>
      </c>
      <c r="B51">
        <v>2020</v>
      </c>
      <c r="C51">
        <v>11</v>
      </c>
      <c r="D51" t="s">
        <v>17</v>
      </c>
      <c r="E51" t="s">
        <v>12</v>
      </c>
      <c r="F51" t="s">
        <v>13</v>
      </c>
      <c r="G51" t="s">
        <v>14</v>
      </c>
      <c r="H51" t="s">
        <v>15</v>
      </c>
      <c r="I51">
        <v>158.9</v>
      </c>
      <c r="J51">
        <v>6.93</v>
      </c>
      <c r="K51" t="s">
        <v>16</v>
      </c>
    </row>
    <row r="52" spans="1:11" x14ac:dyDescent="0.25">
      <c r="A52">
        <v>2012</v>
      </c>
      <c r="B52">
        <v>2020</v>
      </c>
      <c r="C52">
        <v>10</v>
      </c>
      <c r="D52" t="s">
        <v>18</v>
      </c>
      <c r="E52" t="s">
        <v>12</v>
      </c>
      <c r="F52" t="s">
        <v>13</v>
      </c>
      <c r="G52" t="s">
        <v>14</v>
      </c>
      <c r="H52" t="s">
        <v>15</v>
      </c>
      <c r="I52">
        <v>158.4</v>
      </c>
      <c r="J52">
        <v>7.61</v>
      </c>
      <c r="K52" t="s">
        <v>16</v>
      </c>
    </row>
    <row r="53" spans="1:11" x14ac:dyDescent="0.25">
      <c r="A53">
        <v>2012</v>
      </c>
      <c r="B53">
        <v>2020</v>
      </c>
      <c r="C53">
        <v>9</v>
      </c>
      <c r="D53" t="s">
        <v>19</v>
      </c>
      <c r="E53" t="s">
        <v>12</v>
      </c>
      <c r="F53" t="s">
        <v>13</v>
      </c>
      <c r="G53" t="s">
        <v>14</v>
      </c>
      <c r="H53" t="s">
        <v>15</v>
      </c>
      <c r="I53">
        <v>156.4</v>
      </c>
      <c r="J53">
        <v>7.27</v>
      </c>
      <c r="K53" t="s">
        <v>16</v>
      </c>
    </row>
    <row r="54" spans="1:11" x14ac:dyDescent="0.25">
      <c r="A54">
        <v>2012</v>
      </c>
      <c r="B54">
        <v>2020</v>
      </c>
      <c r="C54">
        <v>8</v>
      </c>
      <c r="D54" t="s">
        <v>20</v>
      </c>
      <c r="E54" t="s">
        <v>12</v>
      </c>
      <c r="F54" t="s">
        <v>13</v>
      </c>
      <c r="G54" t="s">
        <v>14</v>
      </c>
      <c r="H54" t="s">
        <v>15</v>
      </c>
      <c r="I54">
        <v>154.69999999999999</v>
      </c>
      <c r="J54">
        <v>6.69</v>
      </c>
      <c r="K54" t="s">
        <v>16</v>
      </c>
    </row>
    <row r="55" spans="1:11" x14ac:dyDescent="0.25">
      <c r="A55">
        <v>2012</v>
      </c>
      <c r="B55">
        <v>2020</v>
      </c>
      <c r="C55">
        <v>7</v>
      </c>
      <c r="D55" t="s">
        <v>21</v>
      </c>
      <c r="E55" t="s">
        <v>12</v>
      </c>
      <c r="F55" t="s">
        <v>13</v>
      </c>
      <c r="G55" t="s">
        <v>14</v>
      </c>
      <c r="H55" t="s">
        <v>15</v>
      </c>
      <c r="I55">
        <v>153.9</v>
      </c>
      <c r="J55">
        <v>6.73</v>
      </c>
      <c r="K55" t="s">
        <v>16</v>
      </c>
    </row>
    <row r="56" spans="1:11" x14ac:dyDescent="0.25">
      <c r="A56">
        <v>2012</v>
      </c>
      <c r="B56">
        <v>2020</v>
      </c>
      <c r="C56">
        <v>6</v>
      </c>
      <c r="D56" t="s">
        <v>22</v>
      </c>
      <c r="E56" t="s">
        <v>12</v>
      </c>
      <c r="F56" t="s">
        <v>13</v>
      </c>
      <c r="G56" t="s">
        <v>14</v>
      </c>
      <c r="H56" t="s">
        <v>15</v>
      </c>
      <c r="I56">
        <v>151.80000000000001</v>
      </c>
      <c r="J56">
        <v>6.23</v>
      </c>
      <c r="K56" t="s">
        <v>16</v>
      </c>
    </row>
    <row r="57" spans="1:11" x14ac:dyDescent="0.25">
      <c r="A57">
        <v>2012</v>
      </c>
      <c r="B57">
        <v>2020</v>
      </c>
      <c r="C57">
        <v>5</v>
      </c>
      <c r="D57" t="s">
        <v>23</v>
      </c>
      <c r="E57" t="s">
        <v>12</v>
      </c>
      <c r="F57" t="s">
        <v>13</v>
      </c>
      <c r="G57" t="s">
        <v>14</v>
      </c>
      <c r="H57" t="s">
        <v>15</v>
      </c>
      <c r="I57">
        <v>150.9</v>
      </c>
      <c r="K57" t="s">
        <v>28</v>
      </c>
    </row>
    <row r="58" spans="1:11" x14ac:dyDescent="0.25">
      <c r="A58">
        <v>2012</v>
      </c>
      <c r="B58">
        <v>2020</v>
      </c>
      <c r="C58">
        <v>4</v>
      </c>
      <c r="D58" t="s">
        <v>24</v>
      </c>
      <c r="E58" t="s">
        <v>12</v>
      </c>
      <c r="F58" t="s">
        <v>13</v>
      </c>
      <c r="G58" t="s">
        <v>14</v>
      </c>
      <c r="H58" t="s">
        <v>15</v>
      </c>
      <c r="I58">
        <v>151.4</v>
      </c>
      <c r="K58" t="s">
        <v>28</v>
      </c>
    </row>
    <row r="59" spans="1:11" x14ac:dyDescent="0.25">
      <c r="A59">
        <v>2012</v>
      </c>
      <c r="B59">
        <v>2020</v>
      </c>
      <c r="C59">
        <v>3</v>
      </c>
      <c r="D59" t="s">
        <v>25</v>
      </c>
      <c r="E59" t="s">
        <v>12</v>
      </c>
      <c r="F59" t="s">
        <v>13</v>
      </c>
      <c r="G59" t="s">
        <v>14</v>
      </c>
      <c r="H59" t="s">
        <v>15</v>
      </c>
      <c r="I59">
        <v>148.6</v>
      </c>
      <c r="J59">
        <v>5.84</v>
      </c>
      <c r="K59" t="s">
        <v>16</v>
      </c>
    </row>
    <row r="60" spans="1:11" x14ac:dyDescent="0.25">
      <c r="A60">
        <v>2012</v>
      </c>
      <c r="B60">
        <v>2020</v>
      </c>
      <c r="C60">
        <v>2</v>
      </c>
      <c r="D60" t="s">
        <v>26</v>
      </c>
      <c r="E60" t="s">
        <v>12</v>
      </c>
      <c r="F60" t="s">
        <v>13</v>
      </c>
      <c r="G60" t="s">
        <v>14</v>
      </c>
      <c r="H60" t="s">
        <v>15</v>
      </c>
      <c r="I60">
        <v>149.1</v>
      </c>
      <c r="J60">
        <v>6.58</v>
      </c>
      <c r="K60" t="s">
        <v>16</v>
      </c>
    </row>
    <row r="61" spans="1:11" x14ac:dyDescent="0.25">
      <c r="A61">
        <v>2012</v>
      </c>
      <c r="B61">
        <v>2020</v>
      </c>
      <c r="C61">
        <v>1</v>
      </c>
      <c r="D61" t="s">
        <v>27</v>
      </c>
      <c r="E61" t="s">
        <v>12</v>
      </c>
      <c r="F61" t="s">
        <v>13</v>
      </c>
      <c r="G61" t="s">
        <v>14</v>
      </c>
      <c r="H61" t="s">
        <v>15</v>
      </c>
      <c r="I61">
        <v>150.19999999999999</v>
      </c>
      <c r="J61">
        <v>7.59</v>
      </c>
      <c r="K61" t="s">
        <v>16</v>
      </c>
    </row>
    <row r="62" spans="1:11" x14ac:dyDescent="0.25">
      <c r="A62">
        <v>2012</v>
      </c>
      <c r="B62">
        <v>2019</v>
      </c>
      <c r="C62">
        <v>12</v>
      </c>
      <c r="D62" t="s">
        <v>11</v>
      </c>
      <c r="E62" t="s">
        <v>12</v>
      </c>
      <c r="F62" t="s">
        <v>13</v>
      </c>
      <c r="G62" t="s">
        <v>14</v>
      </c>
      <c r="H62" t="s">
        <v>15</v>
      </c>
      <c r="I62">
        <v>150.4</v>
      </c>
      <c r="J62">
        <v>7.35</v>
      </c>
      <c r="K62" t="s">
        <v>16</v>
      </c>
    </row>
    <row r="63" spans="1:11" x14ac:dyDescent="0.25">
      <c r="A63">
        <v>2012</v>
      </c>
      <c r="B63">
        <v>2019</v>
      </c>
      <c r="C63">
        <v>11</v>
      </c>
      <c r="D63" t="s">
        <v>17</v>
      </c>
      <c r="E63" t="s">
        <v>12</v>
      </c>
      <c r="F63" t="s">
        <v>13</v>
      </c>
      <c r="G63" t="s">
        <v>14</v>
      </c>
      <c r="H63" t="s">
        <v>15</v>
      </c>
      <c r="I63">
        <v>148.6</v>
      </c>
      <c r="J63">
        <v>5.54</v>
      </c>
      <c r="K63" t="s">
        <v>16</v>
      </c>
    </row>
    <row r="64" spans="1:11" x14ac:dyDescent="0.25">
      <c r="A64">
        <v>2012</v>
      </c>
      <c r="B64">
        <v>2019</v>
      </c>
      <c r="C64">
        <v>10</v>
      </c>
      <c r="D64" t="s">
        <v>18</v>
      </c>
      <c r="E64" t="s">
        <v>12</v>
      </c>
      <c r="F64" t="s">
        <v>13</v>
      </c>
      <c r="G64" t="s">
        <v>14</v>
      </c>
      <c r="H64" t="s">
        <v>15</v>
      </c>
      <c r="I64">
        <v>147.19999999999999</v>
      </c>
      <c r="J64">
        <v>4.62</v>
      </c>
      <c r="K64" t="s">
        <v>16</v>
      </c>
    </row>
    <row r="65" spans="1:11" x14ac:dyDescent="0.25">
      <c r="A65">
        <v>2012</v>
      </c>
      <c r="B65">
        <v>2019</v>
      </c>
      <c r="C65">
        <v>9</v>
      </c>
      <c r="D65" t="s">
        <v>19</v>
      </c>
      <c r="E65" t="s">
        <v>12</v>
      </c>
      <c r="F65" t="s">
        <v>13</v>
      </c>
      <c r="G65" t="s">
        <v>14</v>
      </c>
      <c r="H65" t="s">
        <v>15</v>
      </c>
      <c r="I65">
        <v>145.80000000000001</v>
      </c>
      <c r="J65">
        <v>3.99</v>
      </c>
      <c r="K65" t="s">
        <v>16</v>
      </c>
    </row>
    <row r="66" spans="1:11" x14ac:dyDescent="0.25">
      <c r="A66">
        <v>2012</v>
      </c>
      <c r="B66">
        <v>2019</v>
      </c>
      <c r="C66">
        <v>8</v>
      </c>
      <c r="D66" t="s">
        <v>20</v>
      </c>
      <c r="E66" t="s">
        <v>12</v>
      </c>
      <c r="F66" t="s">
        <v>13</v>
      </c>
      <c r="G66" t="s">
        <v>14</v>
      </c>
      <c r="H66" t="s">
        <v>15</v>
      </c>
      <c r="I66">
        <v>145</v>
      </c>
      <c r="J66">
        <v>3.28</v>
      </c>
      <c r="K66" t="s">
        <v>16</v>
      </c>
    </row>
    <row r="67" spans="1:11" x14ac:dyDescent="0.25">
      <c r="A67">
        <v>2012</v>
      </c>
      <c r="B67">
        <v>2019</v>
      </c>
      <c r="C67">
        <v>7</v>
      </c>
      <c r="D67" t="s">
        <v>21</v>
      </c>
      <c r="E67" t="s">
        <v>12</v>
      </c>
      <c r="F67" t="s">
        <v>13</v>
      </c>
      <c r="G67" t="s">
        <v>14</v>
      </c>
      <c r="H67" t="s">
        <v>15</v>
      </c>
      <c r="I67">
        <v>144.19999999999999</v>
      </c>
      <c r="J67">
        <v>3.15</v>
      </c>
      <c r="K67" t="s">
        <v>16</v>
      </c>
    </row>
    <row r="68" spans="1:11" x14ac:dyDescent="0.25">
      <c r="A68">
        <v>2012</v>
      </c>
      <c r="B68">
        <v>2019</v>
      </c>
      <c r="C68">
        <v>6</v>
      </c>
      <c r="D68" t="s">
        <v>22</v>
      </c>
      <c r="E68" t="s">
        <v>12</v>
      </c>
      <c r="F68" t="s">
        <v>13</v>
      </c>
      <c r="G68" t="s">
        <v>14</v>
      </c>
      <c r="H68" t="s">
        <v>15</v>
      </c>
      <c r="I68">
        <v>142.9</v>
      </c>
      <c r="J68">
        <v>3.18</v>
      </c>
      <c r="K68" t="s">
        <v>16</v>
      </c>
    </row>
    <row r="69" spans="1:11" x14ac:dyDescent="0.25">
      <c r="A69">
        <v>2012</v>
      </c>
      <c r="B69">
        <v>2019</v>
      </c>
      <c r="C69">
        <v>5</v>
      </c>
      <c r="D69" t="s">
        <v>23</v>
      </c>
      <c r="E69" t="s">
        <v>12</v>
      </c>
      <c r="F69" t="s">
        <v>13</v>
      </c>
      <c r="G69" t="s">
        <v>14</v>
      </c>
      <c r="H69" t="s">
        <v>15</v>
      </c>
      <c r="I69">
        <v>142</v>
      </c>
      <c r="J69">
        <v>3.05</v>
      </c>
      <c r="K69" t="s">
        <v>16</v>
      </c>
    </row>
    <row r="70" spans="1:11" x14ac:dyDescent="0.25">
      <c r="A70">
        <v>2012</v>
      </c>
      <c r="B70">
        <v>2019</v>
      </c>
      <c r="C70">
        <v>4</v>
      </c>
      <c r="D70" t="s">
        <v>24</v>
      </c>
      <c r="E70" t="s">
        <v>12</v>
      </c>
      <c r="F70" t="s">
        <v>13</v>
      </c>
      <c r="G70" t="s">
        <v>14</v>
      </c>
      <c r="H70" t="s">
        <v>15</v>
      </c>
      <c r="I70">
        <v>141.19999999999999</v>
      </c>
      <c r="J70">
        <v>2.99</v>
      </c>
      <c r="K70" t="s">
        <v>16</v>
      </c>
    </row>
    <row r="71" spans="1:11" x14ac:dyDescent="0.25">
      <c r="A71">
        <v>2012</v>
      </c>
      <c r="B71">
        <v>2019</v>
      </c>
      <c r="C71">
        <v>3</v>
      </c>
      <c r="D71" t="s">
        <v>25</v>
      </c>
      <c r="E71" t="s">
        <v>12</v>
      </c>
      <c r="F71" t="s">
        <v>13</v>
      </c>
      <c r="G71" t="s">
        <v>14</v>
      </c>
      <c r="H71" t="s">
        <v>15</v>
      </c>
      <c r="I71">
        <v>140.4</v>
      </c>
      <c r="J71">
        <v>2.86</v>
      </c>
      <c r="K71" t="s">
        <v>16</v>
      </c>
    </row>
    <row r="72" spans="1:11" x14ac:dyDescent="0.25">
      <c r="A72">
        <v>2012</v>
      </c>
      <c r="B72">
        <v>2019</v>
      </c>
      <c r="C72">
        <v>2</v>
      </c>
      <c r="D72" t="s">
        <v>26</v>
      </c>
      <c r="E72" t="s">
        <v>12</v>
      </c>
      <c r="F72" t="s">
        <v>13</v>
      </c>
      <c r="G72" t="s">
        <v>14</v>
      </c>
      <c r="H72" t="s">
        <v>15</v>
      </c>
      <c r="I72">
        <v>139.9</v>
      </c>
      <c r="J72">
        <v>2.57</v>
      </c>
      <c r="K72" t="s">
        <v>16</v>
      </c>
    </row>
    <row r="73" spans="1:11" x14ac:dyDescent="0.25">
      <c r="A73">
        <v>2012</v>
      </c>
      <c r="B73">
        <v>2019</v>
      </c>
      <c r="C73">
        <v>1</v>
      </c>
      <c r="D73" t="s">
        <v>27</v>
      </c>
      <c r="E73" t="s">
        <v>12</v>
      </c>
      <c r="F73" t="s">
        <v>13</v>
      </c>
      <c r="G73" t="s">
        <v>14</v>
      </c>
      <c r="H73" t="s">
        <v>15</v>
      </c>
      <c r="I73">
        <v>139.6</v>
      </c>
      <c r="J73">
        <v>1.97</v>
      </c>
      <c r="K73" t="s">
        <v>16</v>
      </c>
    </row>
    <row r="74" spans="1:11" x14ac:dyDescent="0.25">
      <c r="A74">
        <v>2012</v>
      </c>
      <c r="B74">
        <v>2018</v>
      </c>
      <c r="C74">
        <v>12</v>
      </c>
      <c r="D74" t="s">
        <v>11</v>
      </c>
      <c r="E74" t="s">
        <v>12</v>
      </c>
      <c r="F74" t="s">
        <v>13</v>
      </c>
      <c r="G74" t="s">
        <v>14</v>
      </c>
      <c r="H74" t="s">
        <v>15</v>
      </c>
      <c r="I74">
        <v>140.1</v>
      </c>
      <c r="J74">
        <v>2.11</v>
      </c>
      <c r="K74" t="s">
        <v>16</v>
      </c>
    </row>
    <row r="75" spans="1:11" x14ac:dyDescent="0.25">
      <c r="A75">
        <v>2012</v>
      </c>
      <c r="B75">
        <v>2018</v>
      </c>
      <c r="C75">
        <v>11</v>
      </c>
      <c r="D75" t="s">
        <v>17</v>
      </c>
      <c r="E75" t="s">
        <v>12</v>
      </c>
      <c r="F75" t="s">
        <v>13</v>
      </c>
      <c r="G75" t="s">
        <v>14</v>
      </c>
      <c r="H75" t="s">
        <v>15</v>
      </c>
      <c r="I75">
        <v>140.80000000000001</v>
      </c>
      <c r="J75">
        <v>2.33</v>
      </c>
      <c r="K75" t="s">
        <v>16</v>
      </c>
    </row>
    <row r="76" spans="1:11" x14ac:dyDescent="0.25">
      <c r="A76">
        <v>2012</v>
      </c>
      <c r="B76">
        <v>2018</v>
      </c>
      <c r="C76">
        <v>10</v>
      </c>
      <c r="D76" t="s">
        <v>18</v>
      </c>
      <c r="E76" t="s">
        <v>12</v>
      </c>
      <c r="F76" t="s">
        <v>13</v>
      </c>
      <c r="G76" t="s">
        <v>14</v>
      </c>
      <c r="H76" t="s">
        <v>15</v>
      </c>
      <c r="I76">
        <v>140.69999999999999</v>
      </c>
      <c r="J76">
        <v>3.38</v>
      </c>
      <c r="K76" t="s">
        <v>16</v>
      </c>
    </row>
    <row r="77" spans="1:11" x14ac:dyDescent="0.25">
      <c r="A77">
        <v>2012</v>
      </c>
      <c r="B77">
        <v>2018</v>
      </c>
      <c r="C77">
        <v>9</v>
      </c>
      <c r="D77" t="s">
        <v>19</v>
      </c>
      <c r="E77" t="s">
        <v>12</v>
      </c>
      <c r="F77" t="s">
        <v>13</v>
      </c>
      <c r="G77" t="s">
        <v>14</v>
      </c>
      <c r="H77" t="s">
        <v>15</v>
      </c>
      <c r="I77">
        <v>140.19999999999999</v>
      </c>
      <c r="J77">
        <v>3.7</v>
      </c>
      <c r="K77" t="s">
        <v>16</v>
      </c>
    </row>
    <row r="78" spans="1:11" x14ac:dyDescent="0.25">
      <c r="A78">
        <v>2012</v>
      </c>
      <c r="B78">
        <v>2018</v>
      </c>
      <c r="C78">
        <v>8</v>
      </c>
      <c r="D78" t="s">
        <v>20</v>
      </c>
      <c r="E78" t="s">
        <v>12</v>
      </c>
      <c r="F78" t="s">
        <v>13</v>
      </c>
      <c r="G78" t="s">
        <v>14</v>
      </c>
      <c r="H78" t="s">
        <v>15</v>
      </c>
      <c r="I78">
        <v>140.4</v>
      </c>
      <c r="J78">
        <v>3.69</v>
      </c>
      <c r="K78" t="s">
        <v>16</v>
      </c>
    </row>
    <row r="79" spans="1:11" x14ac:dyDescent="0.25">
      <c r="A79">
        <v>2012</v>
      </c>
      <c r="B79">
        <v>2018</v>
      </c>
      <c r="C79">
        <v>7</v>
      </c>
      <c r="D79" t="s">
        <v>21</v>
      </c>
      <c r="E79" t="s">
        <v>12</v>
      </c>
      <c r="F79" t="s">
        <v>13</v>
      </c>
      <c r="G79" t="s">
        <v>14</v>
      </c>
      <c r="H79" t="s">
        <v>15</v>
      </c>
      <c r="I79">
        <v>139.80000000000001</v>
      </c>
      <c r="J79">
        <v>4.17</v>
      </c>
      <c r="K79" t="s">
        <v>16</v>
      </c>
    </row>
    <row r="80" spans="1:11" x14ac:dyDescent="0.25">
      <c r="A80">
        <v>2012</v>
      </c>
      <c r="B80">
        <v>2018</v>
      </c>
      <c r="C80">
        <v>6</v>
      </c>
      <c r="D80" t="s">
        <v>22</v>
      </c>
      <c r="E80" t="s">
        <v>12</v>
      </c>
      <c r="F80" t="s">
        <v>13</v>
      </c>
      <c r="G80" t="s">
        <v>14</v>
      </c>
      <c r="H80" t="s">
        <v>15</v>
      </c>
      <c r="I80">
        <v>138.5</v>
      </c>
      <c r="J80">
        <v>4.92</v>
      </c>
      <c r="K80" t="s">
        <v>16</v>
      </c>
    </row>
    <row r="81" spans="1:11" x14ac:dyDescent="0.25">
      <c r="A81">
        <v>2012</v>
      </c>
      <c r="B81">
        <v>2018</v>
      </c>
      <c r="C81">
        <v>5</v>
      </c>
      <c r="D81" t="s">
        <v>23</v>
      </c>
      <c r="E81" t="s">
        <v>12</v>
      </c>
      <c r="F81" t="s">
        <v>13</v>
      </c>
      <c r="G81" t="s">
        <v>14</v>
      </c>
      <c r="H81" t="s">
        <v>15</v>
      </c>
      <c r="I81">
        <v>137.80000000000001</v>
      </c>
      <c r="J81">
        <v>4.87</v>
      </c>
      <c r="K81" t="s">
        <v>16</v>
      </c>
    </row>
    <row r="82" spans="1:11" x14ac:dyDescent="0.25">
      <c r="A82">
        <v>2012</v>
      </c>
      <c r="B82">
        <v>2018</v>
      </c>
      <c r="C82">
        <v>4</v>
      </c>
      <c r="D82" t="s">
        <v>24</v>
      </c>
      <c r="E82" t="s">
        <v>12</v>
      </c>
      <c r="F82" t="s">
        <v>13</v>
      </c>
      <c r="G82" t="s">
        <v>14</v>
      </c>
      <c r="H82" t="s">
        <v>15</v>
      </c>
      <c r="I82">
        <v>137.1</v>
      </c>
      <c r="J82">
        <v>4.58</v>
      </c>
      <c r="K82" t="s">
        <v>16</v>
      </c>
    </row>
    <row r="83" spans="1:11" x14ac:dyDescent="0.25">
      <c r="A83">
        <v>2012</v>
      </c>
      <c r="B83">
        <v>2018</v>
      </c>
      <c r="C83">
        <v>3</v>
      </c>
      <c r="D83" t="s">
        <v>25</v>
      </c>
      <c r="E83" t="s">
        <v>12</v>
      </c>
      <c r="F83" t="s">
        <v>13</v>
      </c>
      <c r="G83" t="s">
        <v>14</v>
      </c>
      <c r="H83" t="s">
        <v>15</v>
      </c>
      <c r="I83">
        <v>136.5</v>
      </c>
      <c r="J83">
        <v>4.28</v>
      </c>
      <c r="K83" t="s">
        <v>16</v>
      </c>
    </row>
    <row r="84" spans="1:11" x14ac:dyDescent="0.25">
      <c r="A84">
        <v>2012</v>
      </c>
      <c r="B84">
        <v>2018</v>
      </c>
      <c r="C84">
        <v>2</v>
      </c>
      <c r="D84" t="s">
        <v>26</v>
      </c>
      <c r="E84" t="s">
        <v>12</v>
      </c>
      <c r="F84" t="s">
        <v>13</v>
      </c>
      <c r="G84" t="s">
        <v>14</v>
      </c>
      <c r="H84" t="s">
        <v>15</v>
      </c>
      <c r="I84">
        <v>136.4</v>
      </c>
      <c r="J84">
        <v>4.4400000000000004</v>
      </c>
      <c r="K84" t="s">
        <v>16</v>
      </c>
    </row>
    <row r="85" spans="1:11" x14ac:dyDescent="0.25">
      <c r="A85">
        <v>2012</v>
      </c>
      <c r="B85">
        <v>2018</v>
      </c>
      <c r="C85">
        <v>1</v>
      </c>
      <c r="D85" t="s">
        <v>27</v>
      </c>
      <c r="E85" t="s">
        <v>12</v>
      </c>
      <c r="F85" t="s">
        <v>13</v>
      </c>
      <c r="G85" t="s">
        <v>14</v>
      </c>
      <c r="H85" t="s">
        <v>15</v>
      </c>
      <c r="I85">
        <v>136.9</v>
      </c>
      <c r="J85">
        <v>5.07</v>
      </c>
      <c r="K85" t="s">
        <v>16</v>
      </c>
    </row>
    <row r="86" spans="1:11" x14ac:dyDescent="0.25">
      <c r="A86">
        <v>2012</v>
      </c>
      <c r="B86">
        <v>2017</v>
      </c>
      <c r="C86">
        <v>12</v>
      </c>
      <c r="D86" t="s">
        <v>11</v>
      </c>
      <c r="E86" t="s">
        <v>12</v>
      </c>
      <c r="F86" t="s">
        <v>13</v>
      </c>
      <c r="G86" t="s">
        <v>14</v>
      </c>
      <c r="H86" t="s">
        <v>15</v>
      </c>
      <c r="I86">
        <v>137.19999999999999</v>
      </c>
      <c r="J86">
        <v>5.21</v>
      </c>
      <c r="K86" t="s">
        <v>16</v>
      </c>
    </row>
    <row r="87" spans="1:11" x14ac:dyDescent="0.25">
      <c r="A87">
        <v>2012</v>
      </c>
      <c r="B87">
        <v>2017</v>
      </c>
      <c r="C87">
        <v>11</v>
      </c>
      <c r="D87" t="s">
        <v>17</v>
      </c>
      <c r="E87" t="s">
        <v>12</v>
      </c>
      <c r="F87" t="s">
        <v>13</v>
      </c>
      <c r="G87" t="s">
        <v>14</v>
      </c>
      <c r="H87" t="s">
        <v>15</v>
      </c>
      <c r="I87">
        <v>137.6</v>
      </c>
      <c r="J87">
        <v>4.88</v>
      </c>
      <c r="K87" t="s">
        <v>16</v>
      </c>
    </row>
    <row r="88" spans="1:11" x14ac:dyDescent="0.25">
      <c r="A88">
        <v>2012</v>
      </c>
      <c r="B88">
        <v>2017</v>
      </c>
      <c r="C88">
        <v>10</v>
      </c>
      <c r="D88" t="s">
        <v>18</v>
      </c>
      <c r="E88" t="s">
        <v>12</v>
      </c>
      <c r="F88" t="s">
        <v>13</v>
      </c>
      <c r="G88" t="s">
        <v>14</v>
      </c>
      <c r="H88" t="s">
        <v>15</v>
      </c>
      <c r="I88">
        <v>136.1</v>
      </c>
      <c r="J88">
        <v>3.58</v>
      </c>
      <c r="K88" t="s">
        <v>16</v>
      </c>
    </row>
    <row r="89" spans="1:11" x14ac:dyDescent="0.25">
      <c r="A89">
        <v>2012</v>
      </c>
      <c r="B89">
        <v>2017</v>
      </c>
      <c r="C89">
        <v>9</v>
      </c>
      <c r="D89" t="s">
        <v>19</v>
      </c>
      <c r="E89" t="s">
        <v>12</v>
      </c>
      <c r="F89" t="s">
        <v>13</v>
      </c>
      <c r="G89" t="s">
        <v>14</v>
      </c>
      <c r="H89" t="s">
        <v>15</v>
      </c>
      <c r="I89">
        <v>135.19999999999999</v>
      </c>
      <c r="J89">
        <v>3.28</v>
      </c>
      <c r="K89" t="s">
        <v>16</v>
      </c>
    </row>
    <row r="90" spans="1:11" x14ac:dyDescent="0.25">
      <c r="A90">
        <v>2012</v>
      </c>
      <c r="B90">
        <v>2017</v>
      </c>
      <c r="C90">
        <v>8</v>
      </c>
      <c r="D90" t="s">
        <v>20</v>
      </c>
      <c r="E90" t="s">
        <v>12</v>
      </c>
      <c r="F90" t="s">
        <v>13</v>
      </c>
      <c r="G90" t="s">
        <v>14</v>
      </c>
      <c r="H90" t="s">
        <v>15</v>
      </c>
      <c r="I90">
        <v>135.4</v>
      </c>
      <c r="J90">
        <v>3.28</v>
      </c>
      <c r="K90" t="s">
        <v>16</v>
      </c>
    </row>
    <row r="91" spans="1:11" x14ac:dyDescent="0.25">
      <c r="A91">
        <v>2012</v>
      </c>
      <c r="B91">
        <v>2017</v>
      </c>
      <c r="C91">
        <v>7</v>
      </c>
      <c r="D91" t="s">
        <v>21</v>
      </c>
      <c r="E91" t="s">
        <v>12</v>
      </c>
      <c r="F91" t="s">
        <v>13</v>
      </c>
      <c r="G91" t="s">
        <v>14</v>
      </c>
      <c r="H91" t="s">
        <v>15</v>
      </c>
      <c r="I91">
        <v>134.19999999999999</v>
      </c>
      <c r="J91">
        <v>2.36</v>
      </c>
      <c r="K91" t="s">
        <v>16</v>
      </c>
    </row>
    <row r="92" spans="1:11" x14ac:dyDescent="0.25">
      <c r="A92">
        <v>2012</v>
      </c>
      <c r="B92">
        <v>2017</v>
      </c>
      <c r="C92">
        <v>6</v>
      </c>
      <c r="D92" t="s">
        <v>22</v>
      </c>
      <c r="E92" t="s">
        <v>12</v>
      </c>
      <c r="F92" t="s">
        <v>13</v>
      </c>
      <c r="G92" t="s">
        <v>14</v>
      </c>
      <c r="H92" t="s">
        <v>15</v>
      </c>
      <c r="I92">
        <v>132</v>
      </c>
      <c r="J92">
        <v>1.46</v>
      </c>
      <c r="K92" t="s">
        <v>16</v>
      </c>
    </row>
    <row r="93" spans="1:11" x14ac:dyDescent="0.25">
      <c r="A93">
        <v>2012</v>
      </c>
      <c r="B93">
        <v>2017</v>
      </c>
      <c r="C93">
        <v>5</v>
      </c>
      <c r="D93" t="s">
        <v>23</v>
      </c>
      <c r="E93" t="s">
        <v>12</v>
      </c>
      <c r="F93" t="s">
        <v>13</v>
      </c>
      <c r="G93" t="s">
        <v>14</v>
      </c>
      <c r="H93" t="s">
        <v>15</v>
      </c>
      <c r="I93">
        <v>131.4</v>
      </c>
      <c r="J93">
        <v>2.1800000000000002</v>
      </c>
      <c r="K93" t="s">
        <v>16</v>
      </c>
    </row>
    <row r="94" spans="1:11" x14ac:dyDescent="0.25">
      <c r="A94">
        <v>2012</v>
      </c>
      <c r="B94">
        <v>2017</v>
      </c>
      <c r="C94">
        <v>4</v>
      </c>
      <c r="D94" t="s">
        <v>24</v>
      </c>
      <c r="E94" t="s">
        <v>12</v>
      </c>
      <c r="F94" t="s">
        <v>13</v>
      </c>
      <c r="G94" t="s">
        <v>14</v>
      </c>
      <c r="H94" t="s">
        <v>15</v>
      </c>
      <c r="I94">
        <v>131.1</v>
      </c>
      <c r="J94">
        <v>2.99</v>
      </c>
      <c r="K94" t="s">
        <v>16</v>
      </c>
    </row>
    <row r="95" spans="1:11" x14ac:dyDescent="0.25">
      <c r="A95">
        <v>2012</v>
      </c>
      <c r="B95">
        <v>2017</v>
      </c>
      <c r="C95">
        <v>3</v>
      </c>
      <c r="D95" t="s">
        <v>25</v>
      </c>
      <c r="E95" t="s">
        <v>12</v>
      </c>
      <c r="F95" t="s">
        <v>13</v>
      </c>
      <c r="G95" t="s">
        <v>14</v>
      </c>
      <c r="H95" t="s">
        <v>15</v>
      </c>
      <c r="I95">
        <v>130.9</v>
      </c>
      <c r="J95">
        <v>3.89</v>
      </c>
      <c r="K95" t="s">
        <v>16</v>
      </c>
    </row>
    <row r="96" spans="1:11" x14ac:dyDescent="0.25">
      <c r="A96">
        <v>2012</v>
      </c>
      <c r="B96">
        <v>2017</v>
      </c>
      <c r="C96">
        <v>2</v>
      </c>
      <c r="D96" t="s">
        <v>26</v>
      </c>
      <c r="E96" t="s">
        <v>12</v>
      </c>
      <c r="F96" t="s">
        <v>13</v>
      </c>
      <c r="G96" t="s">
        <v>14</v>
      </c>
      <c r="H96" t="s">
        <v>15</v>
      </c>
      <c r="I96">
        <v>130.6</v>
      </c>
      <c r="J96">
        <v>3.65</v>
      </c>
      <c r="K96" t="s">
        <v>16</v>
      </c>
    </row>
    <row r="97" spans="1:11" x14ac:dyDescent="0.25">
      <c r="A97">
        <v>2012</v>
      </c>
      <c r="B97">
        <v>2017</v>
      </c>
      <c r="C97">
        <v>1</v>
      </c>
      <c r="D97" t="s">
        <v>27</v>
      </c>
      <c r="E97" t="s">
        <v>12</v>
      </c>
      <c r="F97" t="s">
        <v>13</v>
      </c>
      <c r="G97" t="s">
        <v>14</v>
      </c>
      <c r="H97" t="s">
        <v>15</v>
      </c>
      <c r="I97">
        <v>130.30000000000001</v>
      </c>
      <c r="J97">
        <v>3.17</v>
      </c>
      <c r="K97" t="s">
        <v>16</v>
      </c>
    </row>
    <row r="98" spans="1:11" ht="15.75" x14ac:dyDescent="0.25">
      <c r="A98" s="1">
        <v>2012</v>
      </c>
      <c r="B98" s="1">
        <v>2016</v>
      </c>
      <c r="C98" s="1">
        <v>12</v>
      </c>
      <c r="D98" s="1" t="s">
        <v>11</v>
      </c>
      <c r="E98" s="1" t="s">
        <v>12</v>
      </c>
      <c r="F98" s="1" t="s">
        <v>13</v>
      </c>
      <c r="G98" s="1" t="s">
        <v>14</v>
      </c>
      <c r="H98" s="1" t="s">
        <v>15</v>
      </c>
      <c r="I98" s="1">
        <v>130.4</v>
      </c>
      <c r="J98" s="1">
        <v>3.41</v>
      </c>
      <c r="K98" s="1" t="s">
        <v>16</v>
      </c>
    </row>
    <row r="99" spans="1:11" ht="15.75" x14ac:dyDescent="0.25">
      <c r="A99" s="1">
        <v>2012</v>
      </c>
      <c r="B99" s="1">
        <v>2016</v>
      </c>
      <c r="C99" s="1">
        <v>11</v>
      </c>
      <c r="D99" s="1" t="s">
        <v>17</v>
      </c>
      <c r="E99" s="1" t="s">
        <v>12</v>
      </c>
      <c r="F99" s="1" t="s">
        <v>13</v>
      </c>
      <c r="G99" s="1" t="s">
        <v>14</v>
      </c>
      <c r="H99" s="1" t="s">
        <v>15</v>
      </c>
      <c r="I99" s="1">
        <v>131.19999999999999</v>
      </c>
      <c r="J99" s="1">
        <v>3.63</v>
      </c>
      <c r="K99" s="1" t="s">
        <v>16</v>
      </c>
    </row>
    <row r="100" spans="1:11" ht="15.75" x14ac:dyDescent="0.25">
      <c r="A100" s="1">
        <v>2012</v>
      </c>
      <c r="B100" s="1">
        <v>2016</v>
      </c>
      <c r="C100" s="1">
        <v>10</v>
      </c>
      <c r="D100" s="1" t="s">
        <v>18</v>
      </c>
      <c r="E100" s="1" t="s">
        <v>12</v>
      </c>
      <c r="F100" s="1" t="s">
        <v>13</v>
      </c>
      <c r="G100" s="1" t="s">
        <v>14</v>
      </c>
      <c r="H100" s="1" t="s">
        <v>15</v>
      </c>
      <c r="I100" s="1">
        <v>131.4</v>
      </c>
      <c r="J100" s="1">
        <v>4.2</v>
      </c>
      <c r="K100" s="1" t="s">
        <v>16</v>
      </c>
    </row>
    <row r="101" spans="1:11" ht="16.5" customHeight="1" x14ac:dyDescent="0.25">
      <c r="A101" s="1">
        <v>2012</v>
      </c>
      <c r="B101" s="1">
        <v>2016</v>
      </c>
      <c r="C101" s="1">
        <v>9</v>
      </c>
      <c r="D101" s="1" t="s">
        <v>19</v>
      </c>
      <c r="E101" s="1" t="s">
        <v>12</v>
      </c>
      <c r="F101" s="1" t="s">
        <v>13</v>
      </c>
      <c r="G101" s="1" t="s">
        <v>14</v>
      </c>
      <c r="H101" s="1" t="s">
        <v>15</v>
      </c>
      <c r="I101" s="1">
        <v>130.9</v>
      </c>
      <c r="J101" s="1">
        <v>4.3899999999999997</v>
      </c>
      <c r="K101" s="1" t="s">
        <v>16</v>
      </c>
    </row>
    <row r="102" spans="1:11" ht="15.75" x14ac:dyDescent="0.25">
      <c r="A102" s="1">
        <v>2012</v>
      </c>
      <c r="B102" s="1">
        <v>2016</v>
      </c>
      <c r="C102" s="1">
        <v>8</v>
      </c>
      <c r="D102" s="1" t="s">
        <v>20</v>
      </c>
      <c r="E102" s="1" t="s">
        <v>12</v>
      </c>
      <c r="F102" s="1" t="s">
        <v>13</v>
      </c>
      <c r="G102" s="1" t="s">
        <v>14</v>
      </c>
      <c r="H102" s="1" t="s">
        <v>15</v>
      </c>
      <c r="I102" s="1">
        <v>131.1</v>
      </c>
      <c r="J102" s="1">
        <v>5.05</v>
      </c>
      <c r="K102" s="1" t="s">
        <v>16</v>
      </c>
    </row>
    <row r="103" spans="1:11" ht="15.75" x14ac:dyDescent="0.25">
      <c r="A103" s="1">
        <v>2012</v>
      </c>
      <c r="B103" s="1">
        <v>2016</v>
      </c>
      <c r="C103" s="1">
        <v>7</v>
      </c>
      <c r="D103" s="1" t="s">
        <v>21</v>
      </c>
      <c r="E103" s="1" t="s">
        <v>12</v>
      </c>
      <c r="F103" s="1" t="s">
        <v>13</v>
      </c>
      <c r="G103" s="1" t="s">
        <v>14</v>
      </c>
      <c r="H103" s="1" t="s">
        <v>15</v>
      </c>
      <c r="I103" s="1">
        <v>131.1</v>
      </c>
      <c r="J103" s="1">
        <v>6.07</v>
      </c>
      <c r="K103" s="1" t="s">
        <v>16</v>
      </c>
    </row>
    <row r="104" spans="1:11" ht="15.75" x14ac:dyDescent="0.25">
      <c r="A104" s="1">
        <v>2012</v>
      </c>
      <c r="B104" s="1">
        <v>2016</v>
      </c>
      <c r="C104" s="1">
        <v>6</v>
      </c>
      <c r="D104" s="1" t="s">
        <v>22</v>
      </c>
      <c r="E104" s="1" t="s">
        <v>12</v>
      </c>
      <c r="F104" s="1" t="s">
        <v>13</v>
      </c>
      <c r="G104" s="1" t="s">
        <v>14</v>
      </c>
      <c r="H104" s="1" t="s">
        <v>15</v>
      </c>
      <c r="I104" s="1">
        <v>130.1</v>
      </c>
      <c r="J104" s="1">
        <v>5.77</v>
      </c>
      <c r="K104" s="1" t="s">
        <v>16</v>
      </c>
    </row>
    <row r="105" spans="1:11" ht="15.75" x14ac:dyDescent="0.25">
      <c r="A105" s="1">
        <v>2012</v>
      </c>
      <c r="B105" s="1">
        <v>2016</v>
      </c>
      <c r="C105" s="1">
        <v>5</v>
      </c>
      <c r="D105" s="1" t="s">
        <v>23</v>
      </c>
      <c r="E105" s="1" t="s">
        <v>12</v>
      </c>
      <c r="F105" s="1" t="s">
        <v>13</v>
      </c>
      <c r="G105" s="1" t="s">
        <v>14</v>
      </c>
      <c r="H105" s="1" t="s">
        <v>15</v>
      </c>
      <c r="I105" s="1">
        <v>128.6</v>
      </c>
      <c r="J105" s="1">
        <v>5.76</v>
      </c>
      <c r="K105" s="1" t="s">
        <v>16</v>
      </c>
    </row>
    <row r="106" spans="1:11" ht="15.75" x14ac:dyDescent="0.25">
      <c r="A106" s="1">
        <v>2012</v>
      </c>
      <c r="B106" s="1">
        <v>2016</v>
      </c>
      <c r="C106" s="1">
        <v>4</v>
      </c>
      <c r="D106" s="1" t="s">
        <v>24</v>
      </c>
      <c r="E106" s="1" t="s">
        <v>12</v>
      </c>
      <c r="F106" s="1" t="s">
        <v>13</v>
      </c>
      <c r="G106" s="1" t="s">
        <v>14</v>
      </c>
      <c r="H106" s="1" t="s">
        <v>15</v>
      </c>
      <c r="I106" s="1">
        <v>127.3</v>
      </c>
      <c r="J106" s="1">
        <v>5.47</v>
      </c>
      <c r="K106" s="1" t="s">
        <v>16</v>
      </c>
    </row>
    <row r="107" spans="1:11" ht="15.75" x14ac:dyDescent="0.25">
      <c r="A107" s="1">
        <v>2012</v>
      </c>
      <c r="B107" s="1">
        <v>2016</v>
      </c>
      <c r="C107" s="1">
        <v>3</v>
      </c>
      <c r="D107" s="1" t="s">
        <v>25</v>
      </c>
      <c r="E107" s="1" t="s">
        <v>12</v>
      </c>
      <c r="F107" s="1" t="s">
        <v>13</v>
      </c>
      <c r="G107" s="1" t="s">
        <v>14</v>
      </c>
      <c r="H107" s="1" t="s">
        <v>15</v>
      </c>
      <c r="I107" s="1">
        <v>126</v>
      </c>
      <c r="J107" s="1">
        <v>4.83</v>
      </c>
      <c r="K107" s="1" t="s">
        <v>16</v>
      </c>
    </row>
    <row r="108" spans="1:11" ht="15.75" x14ac:dyDescent="0.25">
      <c r="A108" s="1">
        <v>2012</v>
      </c>
      <c r="B108" s="1">
        <v>2016</v>
      </c>
      <c r="C108" s="1">
        <v>2</v>
      </c>
      <c r="D108" s="1" t="s">
        <v>26</v>
      </c>
      <c r="E108" s="1" t="s">
        <v>12</v>
      </c>
      <c r="F108" s="1" t="s">
        <v>13</v>
      </c>
      <c r="G108" s="1" t="s">
        <v>14</v>
      </c>
      <c r="H108" s="1" t="s">
        <v>15</v>
      </c>
      <c r="I108" s="1">
        <v>126</v>
      </c>
      <c r="J108" s="1">
        <v>5.26</v>
      </c>
      <c r="K108" s="1" t="s">
        <v>16</v>
      </c>
    </row>
    <row r="109" spans="1:11" ht="15.75" x14ac:dyDescent="0.25">
      <c r="A109" s="1">
        <v>2012</v>
      </c>
      <c r="B109" s="1">
        <v>2016</v>
      </c>
      <c r="C109" s="1">
        <v>1</v>
      </c>
      <c r="D109" s="1" t="s">
        <v>27</v>
      </c>
      <c r="E109" s="1" t="s">
        <v>12</v>
      </c>
      <c r="F109" s="1" t="s">
        <v>13</v>
      </c>
      <c r="G109" s="1" t="s">
        <v>14</v>
      </c>
      <c r="H109" s="1" t="s">
        <v>15</v>
      </c>
      <c r="I109" s="1">
        <v>126.3</v>
      </c>
      <c r="J109" s="1">
        <v>5.69</v>
      </c>
      <c r="K109" s="1" t="s">
        <v>16</v>
      </c>
    </row>
    <row r="110" spans="1:11" ht="15.75" x14ac:dyDescent="0.25">
      <c r="A110" s="1">
        <v>2012</v>
      </c>
      <c r="B110" s="1">
        <v>2015</v>
      </c>
      <c r="C110" s="1">
        <v>12</v>
      </c>
      <c r="D110" s="1" t="s">
        <v>11</v>
      </c>
      <c r="E110" s="1" t="s">
        <v>12</v>
      </c>
      <c r="F110" s="1" t="s">
        <v>13</v>
      </c>
      <c r="G110" s="1" t="s">
        <v>14</v>
      </c>
      <c r="H110" s="1" t="s">
        <v>15</v>
      </c>
      <c r="I110" s="1">
        <v>126.1</v>
      </c>
      <c r="J110" s="1">
        <v>5.61</v>
      </c>
      <c r="K110" s="1" t="s">
        <v>16</v>
      </c>
    </row>
    <row r="111" spans="1:11" ht="15.75" x14ac:dyDescent="0.25">
      <c r="A111" s="1">
        <v>2012</v>
      </c>
      <c r="B111" s="1">
        <v>2015</v>
      </c>
      <c r="C111" s="1">
        <v>11</v>
      </c>
      <c r="D111" s="1" t="s">
        <v>17</v>
      </c>
      <c r="E111" s="1" t="s">
        <v>12</v>
      </c>
      <c r="F111" s="1" t="s">
        <v>13</v>
      </c>
      <c r="G111" s="1" t="s">
        <v>14</v>
      </c>
      <c r="H111" s="1" t="s">
        <v>15</v>
      </c>
      <c r="I111" s="1">
        <v>126.6</v>
      </c>
      <c r="J111" s="1">
        <v>5.41</v>
      </c>
      <c r="K111" s="1" t="s">
        <v>16</v>
      </c>
    </row>
    <row r="112" spans="1:11" ht="15.75" x14ac:dyDescent="0.25">
      <c r="A112" s="1">
        <v>2012</v>
      </c>
      <c r="B112" s="1">
        <v>2015</v>
      </c>
      <c r="C112" s="1">
        <v>10</v>
      </c>
      <c r="D112" s="1" t="s">
        <v>18</v>
      </c>
      <c r="E112" s="1" t="s">
        <v>12</v>
      </c>
      <c r="F112" s="1" t="s">
        <v>13</v>
      </c>
      <c r="G112" s="1" t="s">
        <v>14</v>
      </c>
      <c r="H112" s="1" t="s">
        <v>15</v>
      </c>
      <c r="I112" s="1">
        <v>126.1</v>
      </c>
      <c r="J112" s="1">
        <v>5</v>
      </c>
      <c r="K112" s="1" t="s">
        <v>16</v>
      </c>
    </row>
    <row r="113" spans="1:11" ht="15.75" x14ac:dyDescent="0.25">
      <c r="A113" s="1">
        <v>2012</v>
      </c>
      <c r="B113" s="1">
        <v>2015</v>
      </c>
      <c r="C113" s="1">
        <v>9</v>
      </c>
      <c r="D113" s="1" t="s">
        <v>19</v>
      </c>
      <c r="E113" s="1" t="s">
        <v>12</v>
      </c>
      <c r="F113" s="1" t="s">
        <v>13</v>
      </c>
      <c r="G113" s="1" t="s">
        <v>14</v>
      </c>
      <c r="H113" s="1" t="s">
        <v>15</v>
      </c>
      <c r="I113" s="1">
        <v>125.4</v>
      </c>
      <c r="J113" s="1">
        <v>4.41</v>
      </c>
      <c r="K113" s="1" t="s">
        <v>16</v>
      </c>
    </row>
    <row r="114" spans="1:11" ht="15.75" x14ac:dyDescent="0.25">
      <c r="A114" s="1">
        <v>2012</v>
      </c>
      <c r="B114" s="1">
        <v>2015</v>
      </c>
      <c r="C114" s="1">
        <v>8</v>
      </c>
      <c r="D114" s="1" t="s">
        <v>20</v>
      </c>
      <c r="E114" s="1" t="s">
        <v>12</v>
      </c>
      <c r="F114" s="1" t="s">
        <v>13</v>
      </c>
      <c r="G114" s="1" t="s">
        <v>14</v>
      </c>
      <c r="H114" s="1" t="s">
        <v>15</v>
      </c>
      <c r="I114" s="1">
        <v>124.8</v>
      </c>
      <c r="J114" s="1">
        <v>3.74</v>
      </c>
      <c r="K114" s="1" t="s">
        <v>16</v>
      </c>
    </row>
    <row r="115" spans="1:11" ht="15.75" x14ac:dyDescent="0.25">
      <c r="A115" s="1">
        <v>2012</v>
      </c>
      <c r="B115" s="1">
        <v>2015</v>
      </c>
      <c r="C115" s="1">
        <v>7</v>
      </c>
      <c r="D115" s="1" t="s">
        <v>21</v>
      </c>
      <c r="E115" s="1" t="s">
        <v>12</v>
      </c>
      <c r="F115" s="1" t="s">
        <v>13</v>
      </c>
      <c r="G115" s="1" t="s">
        <v>14</v>
      </c>
      <c r="H115" s="1" t="s">
        <v>15</v>
      </c>
      <c r="I115" s="1">
        <v>123.6</v>
      </c>
      <c r="J115" s="1">
        <v>3.69</v>
      </c>
      <c r="K115" s="1" t="s">
        <v>16</v>
      </c>
    </row>
    <row r="116" spans="1:11" ht="15.75" x14ac:dyDescent="0.25">
      <c r="A116" s="1">
        <v>2012</v>
      </c>
      <c r="B116" s="1">
        <v>2015</v>
      </c>
      <c r="C116" s="1">
        <v>6</v>
      </c>
      <c r="D116" s="1" t="s">
        <v>22</v>
      </c>
      <c r="E116" s="1" t="s">
        <v>12</v>
      </c>
      <c r="F116" s="1" t="s">
        <v>13</v>
      </c>
      <c r="G116" s="1" t="s">
        <v>14</v>
      </c>
      <c r="H116" s="1" t="s">
        <v>15</v>
      </c>
      <c r="I116" s="1">
        <v>123</v>
      </c>
      <c r="J116" s="1">
        <v>5.4</v>
      </c>
      <c r="K116" s="1" t="s">
        <v>16</v>
      </c>
    </row>
    <row r="117" spans="1:11" ht="15.75" x14ac:dyDescent="0.25">
      <c r="A117" s="1">
        <v>2012</v>
      </c>
      <c r="B117" s="1">
        <v>2015</v>
      </c>
      <c r="C117" s="1">
        <v>5</v>
      </c>
      <c r="D117" s="1" t="s">
        <v>23</v>
      </c>
      <c r="E117" s="1" t="s">
        <v>12</v>
      </c>
      <c r="F117" s="1" t="s">
        <v>13</v>
      </c>
      <c r="G117" s="1" t="s">
        <v>14</v>
      </c>
      <c r="H117" s="1" t="s">
        <v>15</v>
      </c>
      <c r="I117" s="1">
        <v>121.6</v>
      </c>
      <c r="J117" s="1">
        <v>5.01</v>
      </c>
      <c r="K117" s="1" t="s">
        <v>16</v>
      </c>
    </row>
    <row r="118" spans="1:11" ht="15.75" x14ac:dyDescent="0.25">
      <c r="A118" s="1">
        <v>2012</v>
      </c>
      <c r="B118" s="1">
        <v>2015</v>
      </c>
      <c r="C118" s="1">
        <v>4</v>
      </c>
      <c r="D118" s="1" t="s">
        <v>24</v>
      </c>
      <c r="E118" s="1" t="s">
        <v>12</v>
      </c>
      <c r="F118" s="1" t="s">
        <v>13</v>
      </c>
      <c r="G118" s="1" t="s">
        <v>14</v>
      </c>
      <c r="H118" s="1" t="s">
        <v>15</v>
      </c>
      <c r="I118" s="1">
        <v>120.7</v>
      </c>
      <c r="J118" s="1">
        <v>4.87</v>
      </c>
      <c r="K118" s="1" t="s">
        <v>16</v>
      </c>
    </row>
    <row r="119" spans="1:11" ht="15.75" x14ac:dyDescent="0.25">
      <c r="A119" s="1">
        <v>2012</v>
      </c>
      <c r="B119" s="1">
        <v>2015</v>
      </c>
      <c r="C119" s="1">
        <v>3</v>
      </c>
      <c r="D119" s="1" t="s">
        <v>25</v>
      </c>
      <c r="E119" s="1" t="s">
        <v>12</v>
      </c>
      <c r="F119" s="1" t="s">
        <v>13</v>
      </c>
      <c r="G119" s="1" t="s">
        <v>14</v>
      </c>
      <c r="H119" s="1" t="s">
        <v>15</v>
      </c>
      <c r="I119" s="1">
        <v>120.2</v>
      </c>
      <c r="J119" s="1">
        <v>5.25</v>
      </c>
      <c r="K119" s="1" t="s">
        <v>16</v>
      </c>
    </row>
    <row r="120" spans="1:11" ht="15.75" x14ac:dyDescent="0.25">
      <c r="A120" s="1">
        <v>2012</v>
      </c>
      <c r="B120" s="1">
        <v>2015</v>
      </c>
      <c r="C120" s="1">
        <v>2</v>
      </c>
      <c r="D120" s="1" t="s">
        <v>26</v>
      </c>
      <c r="E120" s="1" t="s">
        <v>12</v>
      </c>
      <c r="F120" s="1" t="s">
        <v>13</v>
      </c>
      <c r="G120" s="1" t="s">
        <v>14</v>
      </c>
      <c r="H120" s="1" t="s">
        <v>15</v>
      </c>
      <c r="I120" s="1">
        <v>119.7</v>
      </c>
      <c r="J120" s="1">
        <v>5.37</v>
      </c>
      <c r="K120" s="1" t="s">
        <v>16</v>
      </c>
    </row>
    <row r="121" spans="1:11" ht="15.75" x14ac:dyDescent="0.25">
      <c r="A121" s="1">
        <v>2012</v>
      </c>
      <c r="B121" s="1">
        <v>2015</v>
      </c>
      <c r="C121" s="1">
        <v>1</v>
      </c>
      <c r="D121" s="1" t="s">
        <v>27</v>
      </c>
      <c r="E121" s="1" t="s">
        <v>12</v>
      </c>
      <c r="F121" s="1" t="s">
        <v>13</v>
      </c>
      <c r="G121" s="1" t="s">
        <v>14</v>
      </c>
      <c r="H121" s="1" t="s">
        <v>15</v>
      </c>
      <c r="I121" s="1">
        <v>119.5</v>
      </c>
      <c r="J121" s="1">
        <v>5.19</v>
      </c>
      <c r="K121" s="1" t="s">
        <v>16</v>
      </c>
    </row>
    <row r="122" spans="1:11" x14ac:dyDescent="0.25">
      <c r="A122" s="2"/>
      <c r="B122" s="2"/>
      <c r="C122" s="2"/>
      <c r="D122" s="2"/>
      <c r="E122" s="2"/>
      <c r="F122" s="2"/>
      <c r="G122" s="2"/>
      <c r="H122" s="2"/>
      <c r="I122" s="2"/>
      <c r="J122" s="2"/>
      <c r="K12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816C-3686-4B72-9B94-38FCB78140E4}">
  <dimension ref="A1:E121"/>
  <sheetViews>
    <sheetView zoomScale="194" workbookViewId="0">
      <selection activeCell="G120" sqref="G120"/>
    </sheetView>
  </sheetViews>
  <sheetFormatPr defaultRowHeight="15" x14ac:dyDescent="0.25"/>
  <cols>
    <col min="1" max="1" width="17.28515625" style="3" bestFit="1" customWidth="1"/>
  </cols>
  <sheetData>
    <row r="1" spans="1:5" x14ac:dyDescent="0.25">
      <c r="A1" s="3" t="s">
        <v>29</v>
      </c>
      <c r="B1" t="s">
        <v>30</v>
      </c>
      <c r="C1" t="s">
        <v>32</v>
      </c>
      <c r="D1" t="s">
        <v>31</v>
      </c>
      <c r="E1" t="s">
        <v>33</v>
      </c>
    </row>
    <row r="2" spans="1:5" x14ac:dyDescent="0.25">
      <c r="A2" s="3">
        <f>DATE(VALUE(B2),MONTH(1&amp;C2),1)</f>
        <v>45627</v>
      </c>
      <c r="B2">
        <f>Raw_Data!B2</f>
        <v>2024</v>
      </c>
      <c r="C2" t="str">
        <f>Raw_Data!D2</f>
        <v>December</v>
      </c>
      <c r="D2">
        <f>Raw_Data!I2</f>
        <v>195.4</v>
      </c>
      <c r="E2">
        <f>Raw_Data!J2</f>
        <v>5.22</v>
      </c>
    </row>
    <row r="3" spans="1:5" x14ac:dyDescent="0.25">
      <c r="A3" s="3">
        <f t="shared" ref="A3:A60" si="0">DATE(VALUE(B3),MONTH(1&amp;C3),1)</f>
        <v>45597</v>
      </c>
      <c r="B3">
        <f>Raw_Data!B3</f>
        <v>2024</v>
      </c>
      <c r="C3" t="str">
        <f>Raw_Data!D3</f>
        <v>November</v>
      </c>
      <c r="D3">
        <f>Raw_Data!I3</f>
        <v>196.5</v>
      </c>
      <c r="E3">
        <f>Raw_Data!J3</f>
        <v>5.48</v>
      </c>
    </row>
    <row r="4" spans="1:5" x14ac:dyDescent="0.25">
      <c r="A4" s="3">
        <f t="shared" si="0"/>
        <v>45566</v>
      </c>
      <c r="B4">
        <f>Raw_Data!B4</f>
        <v>2024</v>
      </c>
      <c r="C4" t="str">
        <f>Raw_Data!D4</f>
        <v>October</v>
      </c>
      <c r="D4">
        <f>Raw_Data!I4</f>
        <v>196.8</v>
      </c>
      <c r="E4">
        <f>Raw_Data!J4</f>
        <v>6.21</v>
      </c>
    </row>
    <row r="5" spans="1:5" x14ac:dyDescent="0.25">
      <c r="A5" s="3">
        <f t="shared" si="0"/>
        <v>45536</v>
      </c>
      <c r="B5">
        <f>Raw_Data!B5</f>
        <v>2024</v>
      </c>
      <c r="C5" t="str">
        <f>Raw_Data!D5</f>
        <v>September</v>
      </c>
      <c r="D5">
        <f>Raw_Data!I5</f>
        <v>194.2</v>
      </c>
      <c r="E5">
        <f>Raw_Data!J5</f>
        <v>5.49</v>
      </c>
    </row>
    <row r="6" spans="1:5" x14ac:dyDescent="0.25">
      <c r="A6" s="3">
        <f t="shared" si="0"/>
        <v>45505</v>
      </c>
      <c r="B6">
        <f>Raw_Data!B6</f>
        <v>2024</v>
      </c>
      <c r="C6" t="str">
        <f>Raw_Data!D6</f>
        <v>August</v>
      </c>
      <c r="D6">
        <f>Raw_Data!I6</f>
        <v>193</v>
      </c>
      <c r="E6">
        <f>Raw_Data!J6</f>
        <v>3.65</v>
      </c>
    </row>
    <row r="7" spans="1:5" x14ac:dyDescent="0.25">
      <c r="A7" s="3">
        <f t="shared" si="0"/>
        <v>45474</v>
      </c>
      <c r="B7">
        <f>Raw_Data!B7</f>
        <v>2024</v>
      </c>
      <c r="C7" t="str">
        <f>Raw_Data!D7</f>
        <v>July</v>
      </c>
      <c r="D7">
        <f>Raw_Data!I7</f>
        <v>193</v>
      </c>
      <c r="E7">
        <f>Raw_Data!J7</f>
        <v>3.6</v>
      </c>
    </row>
    <row r="8" spans="1:5" x14ac:dyDescent="0.25">
      <c r="A8" s="3">
        <f t="shared" si="0"/>
        <v>45444</v>
      </c>
      <c r="B8">
        <f>Raw_Data!B8</f>
        <v>2024</v>
      </c>
      <c r="C8" t="str">
        <f>Raw_Data!D8</f>
        <v>June</v>
      </c>
      <c r="D8">
        <f>Raw_Data!I8</f>
        <v>190.2</v>
      </c>
      <c r="E8">
        <f>Raw_Data!J8</f>
        <v>5.08</v>
      </c>
    </row>
    <row r="9" spans="1:5" x14ac:dyDescent="0.25">
      <c r="A9" s="3">
        <f t="shared" si="0"/>
        <v>45413</v>
      </c>
      <c r="B9">
        <f>Raw_Data!B9</f>
        <v>2024</v>
      </c>
      <c r="C9" t="str">
        <f>Raw_Data!D9</f>
        <v>May</v>
      </c>
      <c r="D9">
        <f>Raw_Data!I9</f>
        <v>187.7</v>
      </c>
      <c r="E9">
        <f>Raw_Data!J9</f>
        <v>4.8</v>
      </c>
    </row>
    <row r="10" spans="1:5" x14ac:dyDescent="0.25">
      <c r="A10" s="3">
        <f t="shared" si="0"/>
        <v>45383</v>
      </c>
      <c r="B10">
        <f>Raw_Data!B10</f>
        <v>2024</v>
      </c>
      <c r="C10" t="str">
        <f>Raw_Data!D10</f>
        <v>April</v>
      </c>
      <c r="D10">
        <f>Raw_Data!I10</f>
        <v>186.7</v>
      </c>
      <c r="E10">
        <f>Raw_Data!J10</f>
        <v>4.83</v>
      </c>
    </row>
    <row r="11" spans="1:5" x14ac:dyDescent="0.25">
      <c r="A11" s="3">
        <f t="shared" si="0"/>
        <v>45352</v>
      </c>
      <c r="B11">
        <f>Raw_Data!B11</f>
        <v>2024</v>
      </c>
      <c r="C11" t="str">
        <f>Raw_Data!D11</f>
        <v>March</v>
      </c>
      <c r="D11">
        <f>Raw_Data!I11</f>
        <v>185.8</v>
      </c>
      <c r="E11">
        <f>Raw_Data!J11</f>
        <v>4.8499999999999996</v>
      </c>
    </row>
    <row r="12" spans="1:5" x14ac:dyDescent="0.25">
      <c r="A12" s="3">
        <f t="shared" si="0"/>
        <v>45323</v>
      </c>
      <c r="B12">
        <f>Raw_Data!B12</f>
        <v>2024</v>
      </c>
      <c r="C12" t="str">
        <f>Raw_Data!D12</f>
        <v>February</v>
      </c>
      <c r="D12">
        <f>Raw_Data!I12</f>
        <v>185.8</v>
      </c>
      <c r="E12">
        <f>Raw_Data!J12</f>
        <v>5.09</v>
      </c>
    </row>
    <row r="13" spans="1:5" x14ac:dyDescent="0.25">
      <c r="A13" s="3">
        <f t="shared" si="0"/>
        <v>45292</v>
      </c>
      <c r="B13">
        <f>Raw_Data!B13</f>
        <v>2024</v>
      </c>
      <c r="C13" t="str">
        <f>Raw_Data!D13</f>
        <v>January</v>
      </c>
      <c r="D13">
        <f>Raw_Data!I13</f>
        <v>185.5</v>
      </c>
      <c r="E13">
        <f>Raw_Data!J13</f>
        <v>5.0999999999999996</v>
      </c>
    </row>
    <row r="14" spans="1:5" x14ac:dyDescent="0.25">
      <c r="A14" s="3">
        <f t="shared" si="0"/>
        <v>45261</v>
      </c>
      <c r="B14">
        <f>Raw_Data!B14</f>
        <v>2023</v>
      </c>
      <c r="C14" t="str">
        <f>Raw_Data!D14</f>
        <v>December</v>
      </c>
      <c r="D14">
        <f>Raw_Data!I14</f>
        <v>185.7</v>
      </c>
      <c r="E14">
        <f>Raw_Data!J14</f>
        <v>5.69</v>
      </c>
    </row>
    <row r="15" spans="1:5" x14ac:dyDescent="0.25">
      <c r="A15" s="3">
        <f t="shared" si="0"/>
        <v>45231</v>
      </c>
      <c r="B15">
        <f>Raw_Data!B15</f>
        <v>2023</v>
      </c>
      <c r="C15" t="str">
        <f>Raw_Data!D15</f>
        <v>November</v>
      </c>
      <c r="D15">
        <f>Raw_Data!I15</f>
        <v>186.3</v>
      </c>
      <c r="E15">
        <f>Raw_Data!J15</f>
        <v>5.55</v>
      </c>
    </row>
    <row r="16" spans="1:5" x14ac:dyDescent="0.25">
      <c r="A16" s="3">
        <f t="shared" si="0"/>
        <v>45200</v>
      </c>
      <c r="B16">
        <f>Raw_Data!B16</f>
        <v>2023</v>
      </c>
      <c r="C16" t="str">
        <f>Raw_Data!D16</f>
        <v>October</v>
      </c>
      <c r="D16">
        <f>Raw_Data!I16</f>
        <v>185.3</v>
      </c>
      <c r="E16">
        <f>Raw_Data!J16</f>
        <v>4.87</v>
      </c>
    </row>
    <row r="17" spans="1:5" x14ac:dyDescent="0.25">
      <c r="A17" s="3">
        <f t="shared" si="0"/>
        <v>45170</v>
      </c>
      <c r="B17">
        <f>Raw_Data!B17</f>
        <v>2023</v>
      </c>
      <c r="C17" t="str">
        <f>Raw_Data!D17</f>
        <v>September</v>
      </c>
      <c r="D17">
        <f>Raw_Data!I17</f>
        <v>184.1</v>
      </c>
      <c r="E17">
        <f>Raw_Data!J17</f>
        <v>5.0199999999999996</v>
      </c>
    </row>
    <row r="18" spans="1:5" x14ac:dyDescent="0.25">
      <c r="A18" s="3">
        <f t="shared" si="0"/>
        <v>45139</v>
      </c>
      <c r="B18">
        <f>Raw_Data!B18</f>
        <v>2023</v>
      </c>
      <c r="C18" t="str">
        <f>Raw_Data!D18</f>
        <v>August</v>
      </c>
      <c r="D18">
        <f>Raw_Data!I18</f>
        <v>186.2</v>
      </c>
      <c r="E18">
        <f>Raw_Data!J18</f>
        <v>6.83</v>
      </c>
    </row>
    <row r="19" spans="1:5" x14ac:dyDescent="0.25">
      <c r="A19" s="3">
        <f t="shared" si="0"/>
        <v>45108</v>
      </c>
      <c r="B19">
        <f>Raw_Data!B19</f>
        <v>2023</v>
      </c>
      <c r="C19" t="str">
        <f>Raw_Data!D19</f>
        <v>July</v>
      </c>
      <c r="D19">
        <f>Raw_Data!I19</f>
        <v>186.3</v>
      </c>
      <c r="E19">
        <f>Raw_Data!J19</f>
        <v>7.44</v>
      </c>
    </row>
    <row r="20" spans="1:5" x14ac:dyDescent="0.25">
      <c r="A20" s="3">
        <f t="shared" si="0"/>
        <v>45078</v>
      </c>
      <c r="B20">
        <f>Raw_Data!B20</f>
        <v>2023</v>
      </c>
      <c r="C20" t="str">
        <f>Raw_Data!D20</f>
        <v>June</v>
      </c>
      <c r="D20">
        <f>Raw_Data!I20</f>
        <v>181</v>
      </c>
      <c r="E20">
        <f>Raw_Data!J20</f>
        <v>4.87</v>
      </c>
    </row>
    <row r="21" spans="1:5" x14ac:dyDescent="0.25">
      <c r="A21" s="3">
        <f t="shared" si="0"/>
        <v>45047</v>
      </c>
      <c r="B21">
        <f>Raw_Data!B21</f>
        <v>2023</v>
      </c>
      <c r="C21" t="str">
        <f>Raw_Data!D21</f>
        <v>May</v>
      </c>
      <c r="D21">
        <f>Raw_Data!I21</f>
        <v>179.1</v>
      </c>
      <c r="E21">
        <f>Raw_Data!J21</f>
        <v>4.3099999999999996</v>
      </c>
    </row>
    <row r="22" spans="1:5" x14ac:dyDescent="0.25">
      <c r="A22" s="3">
        <f t="shared" si="0"/>
        <v>45017</v>
      </c>
      <c r="B22">
        <f>Raw_Data!B22</f>
        <v>2023</v>
      </c>
      <c r="C22" t="str">
        <f>Raw_Data!D22</f>
        <v>April</v>
      </c>
      <c r="D22">
        <f>Raw_Data!I22</f>
        <v>178.1</v>
      </c>
      <c r="E22">
        <f>Raw_Data!J22</f>
        <v>4.7</v>
      </c>
    </row>
    <row r="23" spans="1:5" x14ac:dyDescent="0.25">
      <c r="A23" s="3">
        <f t="shared" si="0"/>
        <v>44986</v>
      </c>
      <c r="B23">
        <f>Raw_Data!B23</f>
        <v>2023</v>
      </c>
      <c r="C23" t="str">
        <f>Raw_Data!D23</f>
        <v>March</v>
      </c>
      <c r="D23">
        <f>Raw_Data!I23</f>
        <v>177.2</v>
      </c>
      <c r="E23">
        <f>Raw_Data!J23</f>
        <v>5.66</v>
      </c>
    </row>
    <row r="24" spans="1:5" x14ac:dyDescent="0.25">
      <c r="A24" s="3">
        <f t="shared" si="0"/>
        <v>44958</v>
      </c>
      <c r="B24">
        <f>Raw_Data!B24</f>
        <v>2023</v>
      </c>
      <c r="C24" t="str">
        <f>Raw_Data!D24</f>
        <v>February</v>
      </c>
      <c r="D24">
        <f>Raw_Data!I24</f>
        <v>176.8</v>
      </c>
      <c r="E24">
        <f>Raw_Data!J24</f>
        <v>6.44</v>
      </c>
    </row>
    <row r="25" spans="1:5" x14ac:dyDescent="0.25">
      <c r="A25" s="3">
        <f t="shared" si="0"/>
        <v>44927</v>
      </c>
      <c r="B25">
        <f>Raw_Data!B25</f>
        <v>2023</v>
      </c>
      <c r="C25" t="str">
        <f>Raw_Data!D25</f>
        <v>January</v>
      </c>
      <c r="D25">
        <f>Raw_Data!I25</f>
        <v>176.5</v>
      </c>
      <c r="E25">
        <f>Raw_Data!J25</f>
        <v>6.52</v>
      </c>
    </row>
    <row r="26" spans="1:5" x14ac:dyDescent="0.25">
      <c r="A26" s="3">
        <f t="shared" si="0"/>
        <v>44896</v>
      </c>
      <c r="B26">
        <f>Raw_Data!B26</f>
        <v>2022</v>
      </c>
      <c r="C26" t="str">
        <f>Raw_Data!D26</f>
        <v>December</v>
      </c>
      <c r="D26">
        <f>Raw_Data!I26</f>
        <v>175.7</v>
      </c>
      <c r="E26">
        <f>Raw_Data!J26</f>
        <v>5.72</v>
      </c>
    </row>
    <row r="27" spans="1:5" x14ac:dyDescent="0.25">
      <c r="A27" s="3">
        <f t="shared" si="0"/>
        <v>44866</v>
      </c>
      <c r="B27">
        <f>Raw_Data!B27</f>
        <v>2022</v>
      </c>
      <c r="C27" t="str">
        <f>Raw_Data!D27</f>
        <v>November</v>
      </c>
      <c r="D27">
        <f>Raw_Data!I27</f>
        <v>176.5</v>
      </c>
      <c r="E27">
        <f>Raw_Data!J27</f>
        <v>5.88</v>
      </c>
    </row>
    <row r="28" spans="1:5" x14ac:dyDescent="0.25">
      <c r="A28" s="3">
        <f t="shared" si="0"/>
        <v>44835</v>
      </c>
      <c r="B28">
        <f>Raw_Data!B28</f>
        <v>2022</v>
      </c>
      <c r="C28" t="str">
        <f>Raw_Data!D28</f>
        <v>October</v>
      </c>
      <c r="D28">
        <f>Raw_Data!I28</f>
        <v>176.7</v>
      </c>
      <c r="E28">
        <f>Raw_Data!J28</f>
        <v>6.77</v>
      </c>
    </row>
    <row r="29" spans="1:5" x14ac:dyDescent="0.25">
      <c r="A29" s="3">
        <f t="shared" si="0"/>
        <v>44805</v>
      </c>
      <c r="B29">
        <f>Raw_Data!B29</f>
        <v>2022</v>
      </c>
      <c r="C29" t="str">
        <f>Raw_Data!D29</f>
        <v>September</v>
      </c>
      <c r="D29">
        <f>Raw_Data!I29</f>
        <v>175.3</v>
      </c>
      <c r="E29">
        <f>Raw_Data!J29</f>
        <v>7.41</v>
      </c>
    </row>
    <row r="30" spans="1:5" x14ac:dyDescent="0.25">
      <c r="A30" s="3">
        <f t="shared" si="0"/>
        <v>44774</v>
      </c>
      <c r="B30">
        <f>Raw_Data!B30</f>
        <v>2022</v>
      </c>
      <c r="C30" t="str">
        <f>Raw_Data!D30</f>
        <v>August</v>
      </c>
      <c r="D30">
        <f>Raw_Data!I30</f>
        <v>174.3</v>
      </c>
      <c r="E30">
        <f>Raw_Data!J30</f>
        <v>7</v>
      </c>
    </row>
    <row r="31" spans="1:5" x14ac:dyDescent="0.25">
      <c r="A31" s="3">
        <f t="shared" si="0"/>
        <v>44743</v>
      </c>
      <c r="B31">
        <f>Raw_Data!B31</f>
        <v>2022</v>
      </c>
      <c r="C31" t="str">
        <f>Raw_Data!D31</f>
        <v>July</v>
      </c>
      <c r="D31">
        <f>Raw_Data!I31</f>
        <v>173.4</v>
      </c>
      <c r="E31">
        <f>Raw_Data!J31</f>
        <v>6.71</v>
      </c>
    </row>
    <row r="32" spans="1:5" x14ac:dyDescent="0.25">
      <c r="A32" s="3">
        <f t="shared" si="0"/>
        <v>44713</v>
      </c>
      <c r="B32">
        <f>Raw_Data!B32</f>
        <v>2022</v>
      </c>
      <c r="C32" t="str">
        <f>Raw_Data!D32</f>
        <v>June</v>
      </c>
      <c r="D32">
        <f>Raw_Data!I32</f>
        <v>172.6</v>
      </c>
      <c r="E32">
        <f>Raw_Data!J32</f>
        <v>7.01</v>
      </c>
    </row>
    <row r="33" spans="1:5" x14ac:dyDescent="0.25">
      <c r="A33" s="3">
        <f t="shared" si="0"/>
        <v>44682</v>
      </c>
      <c r="B33">
        <f>Raw_Data!B33</f>
        <v>2022</v>
      </c>
      <c r="C33" t="str">
        <f>Raw_Data!D33</f>
        <v>May</v>
      </c>
      <c r="D33">
        <f>Raw_Data!I33</f>
        <v>171.7</v>
      </c>
      <c r="E33">
        <f>Raw_Data!J33</f>
        <v>7.04</v>
      </c>
    </row>
    <row r="34" spans="1:5" x14ac:dyDescent="0.25">
      <c r="A34" s="3">
        <f t="shared" si="0"/>
        <v>44652</v>
      </c>
      <c r="B34">
        <f>Raw_Data!B34</f>
        <v>2022</v>
      </c>
      <c r="C34" t="str">
        <f>Raw_Data!D34</f>
        <v>April</v>
      </c>
      <c r="D34">
        <f>Raw_Data!I34</f>
        <v>170.1</v>
      </c>
      <c r="E34">
        <f>Raw_Data!J34</f>
        <v>7.79</v>
      </c>
    </row>
    <row r="35" spans="1:5" x14ac:dyDescent="0.25">
      <c r="A35" s="3">
        <f t="shared" si="0"/>
        <v>44621</v>
      </c>
      <c r="B35">
        <f>Raw_Data!B35</f>
        <v>2022</v>
      </c>
      <c r="C35" t="str">
        <f>Raw_Data!D35</f>
        <v>March</v>
      </c>
      <c r="D35">
        <f>Raw_Data!I35</f>
        <v>167.7</v>
      </c>
      <c r="E35">
        <f>Raw_Data!J35</f>
        <v>6.95</v>
      </c>
    </row>
    <row r="36" spans="1:5" x14ac:dyDescent="0.25">
      <c r="A36" s="3">
        <f t="shared" si="0"/>
        <v>44593</v>
      </c>
      <c r="B36">
        <f>Raw_Data!B36</f>
        <v>2022</v>
      </c>
      <c r="C36" t="str">
        <f>Raw_Data!D36</f>
        <v>February</v>
      </c>
      <c r="D36">
        <f>Raw_Data!I36</f>
        <v>166.1</v>
      </c>
      <c r="E36">
        <f>Raw_Data!J36</f>
        <v>6.07</v>
      </c>
    </row>
    <row r="37" spans="1:5" x14ac:dyDescent="0.25">
      <c r="A37" s="3">
        <f t="shared" si="0"/>
        <v>44562</v>
      </c>
      <c r="B37">
        <f>Raw_Data!B37</f>
        <v>2022</v>
      </c>
      <c r="C37" t="str">
        <f>Raw_Data!D37</f>
        <v>January</v>
      </c>
      <c r="D37">
        <f>Raw_Data!I37</f>
        <v>165.7</v>
      </c>
      <c r="E37">
        <f>Raw_Data!J37</f>
        <v>6.01</v>
      </c>
    </row>
    <row r="38" spans="1:5" x14ac:dyDescent="0.25">
      <c r="A38" s="3">
        <f t="shared" si="0"/>
        <v>44531</v>
      </c>
      <c r="B38">
        <f>Raw_Data!B38</f>
        <v>2021</v>
      </c>
      <c r="C38" t="str">
        <f>Raw_Data!D38</f>
        <v>December</v>
      </c>
      <c r="D38">
        <f>Raw_Data!I38</f>
        <v>166.2</v>
      </c>
      <c r="E38">
        <f>Raw_Data!J38</f>
        <v>5.66</v>
      </c>
    </row>
    <row r="39" spans="1:5" x14ac:dyDescent="0.25">
      <c r="A39" s="3">
        <f t="shared" si="0"/>
        <v>44501</v>
      </c>
      <c r="B39">
        <f>Raw_Data!B39</f>
        <v>2021</v>
      </c>
      <c r="C39" t="str">
        <f>Raw_Data!D39</f>
        <v>November</v>
      </c>
      <c r="D39">
        <f>Raw_Data!I39</f>
        <v>166.7</v>
      </c>
      <c r="E39">
        <f>Raw_Data!J39</f>
        <v>4.91</v>
      </c>
    </row>
    <row r="40" spans="1:5" x14ac:dyDescent="0.25">
      <c r="A40" s="3">
        <f t="shared" si="0"/>
        <v>44470</v>
      </c>
      <c r="B40">
        <f>Raw_Data!B40</f>
        <v>2021</v>
      </c>
      <c r="C40" t="str">
        <f>Raw_Data!D40</f>
        <v>October</v>
      </c>
      <c r="D40">
        <f>Raw_Data!I40</f>
        <v>165.5</v>
      </c>
      <c r="E40">
        <f>Raw_Data!J40</f>
        <v>4.4800000000000004</v>
      </c>
    </row>
    <row r="41" spans="1:5" x14ac:dyDescent="0.25">
      <c r="A41" s="3">
        <f t="shared" si="0"/>
        <v>44440</v>
      </c>
      <c r="B41">
        <f>Raw_Data!B41</f>
        <v>2021</v>
      </c>
      <c r="C41" t="str">
        <f>Raw_Data!D41</f>
        <v>September</v>
      </c>
      <c r="D41">
        <f>Raw_Data!I41</f>
        <v>163.19999999999999</v>
      </c>
      <c r="E41">
        <f>Raw_Data!J41</f>
        <v>4.3499999999999996</v>
      </c>
    </row>
    <row r="42" spans="1:5" x14ac:dyDescent="0.25">
      <c r="A42" s="3">
        <f t="shared" si="0"/>
        <v>44409</v>
      </c>
      <c r="B42">
        <f>Raw_Data!B42</f>
        <v>2021</v>
      </c>
      <c r="C42" t="str">
        <f>Raw_Data!D42</f>
        <v>August</v>
      </c>
      <c r="D42">
        <f>Raw_Data!I42</f>
        <v>162.9</v>
      </c>
      <c r="E42">
        <f>Raw_Data!J42</f>
        <v>5.3</v>
      </c>
    </row>
    <row r="43" spans="1:5" x14ac:dyDescent="0.25">
      <c r="A43" s="3">
        <f t="shared" si="0"/>
        <v>44378</v>
      </c>
      <c r="B43">
        <f>Raw_Data!B43</f>
        <v>2021</v>
      </c>
      <c r="C43" t="str">
        <f>Raw_Data!D43</f>
        <v>July</v>
      </c>
      <c r="D43">
        <f>Raw_Data!I43</f>
        <v>162.5</v>
      </c>
      <c r="E43">
        <f>Raw_Data!J43</f>
        <v>5.59</v>
      </c>
    </row>
    <row r="44" spans="1:5" x14ac:dyDescent="0.25">
      <c r="A44" s="3">
        <f t="shared" si="0"/>
        <v>44348</v>
      </c>
      <c r="B44">
        <f>Raw_Data!B44</f>
        <v>2021</v>
      </c>
      <c r="C44" t="str">
        <f>Raw_Data!D44</f>
        <v>June</v>
      </c>
      <c r="D44">
        <f>Raw_Data!I44</f>
        <v>161.30000000000001</v>
      </c>
      <c r="E44">
        <f>Raw_Data!J44</f>
        <v>6.26</v>
      </c>
    </row>
    <row r="45" spans="1:5" x14ac:dyDescent="0.25">
      <c r="A45" s="3">
        <f t="shared" si="0"/>
        <v>44317</v>
      </c>
      <c r="B45">
        <f>Raw_Data!B45</f>
        <v>2021</v>
      </c>
      <c r="C45" t="str">
        <f>Raw_Data!D45</f>
        <v>May</v>
      </c>
      <c r="D45">
        <f>Raw_Data!I45</f>
        <v>160.4</v>
      </c>
      <c r="E45">
        <f>Raw_Data!J45</f>
        <v>6.3</v>
      </c>
    </row>
    <row r="46" spans="1:5" x14ac:dyDescent="0.25">
      <c r="A46" s="3">
        <f t="shared" si="0"/>
        <v>44287</v>
      </c>
      <c r="B46">
        <f>Raw_Data!B46</f>
        <v>2021</v>
      </c>
      <c r="C46" t="str">
        <f>Raw_Data!D46</f>
        <v>April</v>
      </c>
      <c r="D46">
        <f>Raw_Data!I46</f>
        <v>157.80000000000001</v>
      </c>
      <c r="E46">
        <f>Raw_Data!J46</f>
        <v>4.2300000000000004</v>
      </c>
    </row>
    <row r="47" spans="1:5" x14ac:dyDescent="0.25">
      <c r="A47" s="3">
        <f t="shared" si="0"/>
        <v>44256</v>
      </c>
      <c r="B47">
        <f>Raw_Data!B47</f>
        <v>2021</v>
      </c>
      <c r="C47" t="str">
        <f>Raw_Data!D47</f>
        <v>March</v>
      </c>
      <c r="D47">
        <f>Raw_Data!I47</f>
        <v>156.80000000000001</v>
      </c>
      <c r="E47">
        <f>Raw_Data!J47</f>
        <v>5.52</v>
      </c>
    </row>
    <row r="48" spans="1:5" x14ac:dyDescent="0.25">
      <c r="A48" s="3">
        <f t="shared" si="0"/>
        <v>44228</v>
      </c>
      <c r="B48">
        <f>Raw_Data!B48</f>
        <v>2021</v>
      </c>
      <c r="C48" t="str">
        <f>Raw_Data!D48</f>
        <v>February</v>
      </c>
      <c r="D48">
        <f>Raw_Data!I48</f>
        <v>156.6</v>
      </c>
      <c r="E48">
        <f>Raw_Data!J48</f>
        <v>5.03</v>
      </c>
    </row>
    <row r="49" spans="1:5" x14ac:dyDescent="0.25">
      <c r="A49" s="3">
        <f t="shared" si="0"/>
        <v>44197</v>
      </c>
      <c r="B49">
        <f>Raw_Data!B49</f>
        <v>2021</v>
      </c>
      <c r="C49" t="str">
        <f>Raw_Data!D49</f>
        <v>January</v>
      </c>
      <c r="D49">
        <f>Raw_Data!I49</f>
        <v>156.30000000000001</v>
      </c>
      <c r="E49">
        <f>Raw_Data!J49</f>
        <v>4.0599999999999996</v>
      </c>
    </row>
    <row r="50" spans="1:5" x14ac:dyDescent="0.25">
      <c r="A50" s="3">
        <f t="shared" si="0"/>
        <v>44166</v>
      </c>
      <c r="B50">
        <f>Raw_Data!B50</f>
        <v>2020</v>
      </c>
      <c r="C50" t="str">
        <f>Raw_Data!D50</f>
        <v>December</v>
      </c>
      <c r="D50">
        <f>Raw_Data!I50</f>
        <v>157.30000000000001</v>
      </c>
      <c r="E50">
        <f>Raw_Data!J50</f>
        <v>4.59</v>
      </c>
    </row>
    <row r="51" spans="1:5" x14ac:dyDescent="0.25">
      <c r="A51" s="3">
        <f t="shared" si="0"/>
        <v>44136</v>
      </c>
      <c r="B51">
        <f>Raw_Data!B51</f>
        <v>2020</v>
      </c>
      <c r="C51" t="str">
        <f>Raw_Data!D51</f>
        <v>November</v>
      </c>
      <c r="D51">
        <f>Raw_Data!I51</f>
        <v>158.9</v>
      </c>
      <c r="E51">
        <f>Raw_Data!J51</f>
        <v>6.93</v>
      </c>
    </row>
    <row r="52" spans="1:5" x14ac:dyDescent="0.25">
      <c r="A52" s="3">
        <f t="shared" si="0"/>
        <v>44105</v>
      </c>
      <c r="B52">
        <f>Raw_Data!B52</f>
        <v>2020</v>
      </c>
      <c r="C52" t="str">
        <f>Raw_Data!D52</f>
        <v>October</v>
      </c>
      <c r="D52">
        <f>Raw_Data!I52</f>
        <v>158.4</v>
      </c>
      <c r="E52">
        <f>Raw_Data!J52</f>
        <v>7.61</v>
      </c>
    </row>
    <row r="53" spans="1:5" x14ac:dyDescent="0.25">
      <c r="A53" s="3">
        <f t="shared" si="0"/>
        <v>44075</v>
      </c>
      <c r="B53">
        <f>Raw_Data!B53</f>
        <v>2020</v>
      </c>
      <c r="C53" t="str">
        <f>Raw_Data!D53</f>
        <v>September</v>
      </c>
      <c r="D53">
        <f>Raw_Data!I53</f>
        <v>156.4</v>
      </c>
      <c r="E53">
        <f>Raw_Data!J53</f>
        <v>7.27</v>
      </c>
    </row>
    <row r="54" spans="1:5" x14ac:dyDescent="0.25">
      <c r="A54" s="3">
        <f t="shared" si="0"/>
        <v>44044</v>
      </c>
      <c r="B54">
        <f>Raw_Data!B54</f>
        <v>2020</v>
      </c>
      <c r="C54" t="str">
        <f>Raw_Data!D54</f>
        <v>August</v>
      </c>
      <c r="D54">
        <f>Raw_Data!I54</f>
        <v>154.69999999999999</v>
      </c>
      <c r="E54">
        <f>Raw_Data!J54</f>
        <v>6.69</v>
      </c>
    </row>
    <row r="55" spans="1:5" x14ac:dyDescent="0.25">
      <c r="A55" s="3">
        <f t="shared" si="0"/>
        <v>44013</v>
      </c>
      <c r="B55">
        <f>Raw_Data!B55</f>
        <v>2020</v>
      </c>
      <c r="C55" t="str">
        <f>Raw_Data!D55</f>
        <v>July</v>
      </c>
      <c r="D55">
        <f>Raw_Data!I55</f>
        <v>153.9</v>
      </c>
      <c r="E55">
        <f>Raw_Data!J55</f>
        <v>6.73</v>
      </c>
    </row>
    <row r="56" spans="1:5" x14ac:dyDescent="0.25">
      <c r="A56" s="3">
        <f t="shared" si="0"/>
        <v>43983</v>
      </c>
      <c r="B56">
        <f>Raw_Data!B56</f>
        <v>2020</v>
      </c>
      <c r="C56" t="str">
        <f>Raw_Data!D56</f>
        <v>June</v>
      </c>
      <c r="D56">
        <f>Raw_Data!I56</f>
        <v>151.80000000000001</v>
      </c>
      <c r="E56">
        <f>Raw_Data!J56</f>
        <v>6.23</v>
      </c>
    </row>
    <row r="57" spans="1:5" x14ac:dyDescent="0.25">
      <c r="A57" s="3">
        <f t="shared" si="0"/>
        <v>43952</v>
      </c>
      <c r="B57">
        <f>Raw_Data!B57</f>
        <v>2020</v>
      </c>
      <c r="C57" t="str">
        <f>Raw_Data!D57</f>
        <v>May</v>
      </c>
      <c r="D57">
        <f>Raw_Data!I57</f>
        <v>150.9</v>
      </c>
      <c r="E57">
        <f>Raw_Data!J57</f>
        <v>0</v>
      </c>
    </row>
    <row r="58" spans="1:5" x14ac:dyDescent="0.25">
      <c r="A58" s="3">
        <f t="shared" si="0"/>
        <v>43922</v>
      </c>
      <c r="B58">
        <f>Raw_Data!B58</f>
        <v>2020</v>
      </c>
      <c r="C58" t="str">
        <f>Raw_Data!D58</f>
        <v>April</v>
      </c>
      <c r="D58">
        <f>Raw_Data!I58</f>
        <v>151.4</v>
      </c>
      <c r="E58">
        <f>Raw_Data!J58</f>
        <v>0</v>
      </c>
    </row>
    <row r="59" spans="1:5" x14ac:dyDescent="0.25">
      <c r="A59" s="3">
        <f t="shared" si="0"/>
        <v>43891</v>
      </c>
      <c r="B59">
        <f>Raw_Data!B59</f>
        <v>2020</v>
      </c>
      <c r="C59" t="str">
        <f>Raw_Data!D59</f>
        <v>March</v>
      </c>
      <c r="D59">
        <f>Raw_Data!I59</f>
        <v>148.6</v>
      </c>
      <c r="E59">
        <f>Raw_Data!J59</f>
        <v>5.84</v>
      </c>
    </row>
    <row r="60" spans="1:5" x14ac:dyDescent="0.25">
      <c r="A60" s="3">
        <f t="shared" si="0"/>
        <v>43862</v>
      </c>
      <c r="B60">
        <f>Raw_Data!B60</f>
        <v>2020</v>
      </c>
      <c r="C60" t="str">
        <f>Raw_Data!D60</f>
        <v>February</v>
      </c>
      <c r="D60">
        <f>Raw_Data!I60</f>
        <v>149.1</v>
      </c>
      <c r="E60">
        <f>Raw_Data!J60</f>
        <v>6.58</v>
      </c>
    </row>
    <row r="61" spans="1:5" x14ac:dyDescent="0.25">
      <c r="A61" s="3">
        <f t="shared" ref="A61:A121" si="1">DATE(VALUE(B61),MONTH(1&amp;C61),1)</f>
        <v>43831</v>
      </c>
      <c r="B61">
        <f>Raw_Data!B61</f>
        <v>2020</v>
      </c>
      <c r="C61" t="str">
        <f>Raw_Data!D61</f>
        <v>January</v>
      </c>
      <c r="D61">
        <f>Raw_Data!I61</f>
        <v>150.19999999999999</v>
      </c>
      <c r="E61">
        <f>Raw_Data!J61</f>
        <v>7.59</v>
      </c>
    </row>
    <row r="62" spans="1:5" x14ac:dyDescent="0.25">
      <c r="A62" s="3">
        <f t="shared" si="1"/>
        <v>43800</v>
      </c>
      <c r="B62">
        <f>Raw_Data!B62</f>
        <v>2019</v>
      </c>
      <c r="C62" t="str">
        <f>Raw_Data!D62</f>
        <v>December</v>
      </c>
      <c r="D62">
        <f>Raw_Data!I62</f>
        <v>150.4</v>
      </c>
      <c r="E62">
        <f>Raw_Data!J62</f>
        <v>7.35</v>
      </c>
    </row>
    <row r="63" spans="1:5" x14ac:dyDescent="0.25">
      <c r="A63" s="3">
        <f t="shared" si="1"/>
        <v>43770</v>
      </c>
      <c r="B63">
        <f>Raw_Data!B63</f>
        <v>2019</v>
      </c>
      <c r="C63" t="str">
        <f>Raw_Data!D63</f>
        <v>November</v>
      </c>
      <c r="D63">
        <f>Raw_Data!I63</f>
        <v>148.6</v>
      </c>
      <c r="E63">
        <f>Raw_Data!J63</f>
        <v>5.54</v>
      </c>
    </row>
    <row r="64" spans="1:5" x14ac:dyDescent="0.25">
      <c r="A64" s="3">
        <f t="shared" si="1"/>
        <v>43739</v>
      </c>
      <c r="B64">
        <f>Raw_Data!B64</f>
        <v>2019</v>
      </c>
      <c r="C64" t="str">
        <f>Raw_Data!D64</f>
        <v>October</v>
      </c>
      <c r="D64">
        <f>Raw_Data!I64</f>
        <v>147.19999999999999</v>
      </c>
      <c r="E64">
        <f>Raw_Data!J64</f>
        <v>4.62</v>
      </c>
    </row>
    <row r="65" spans="1:5" x14ac:dyDescent="0.25">
      <c r="A65" s="3">
        <f t="shared" si="1"/>
        <v>43709</v>
      </c>
      <c r="B65">
        <f>Raw_Data!B65</f>
        <v>2019</v>
      </c>
      <c r="C65" t="str">
        <f>Raw_Data!D65</f>
        <v>September</v>
      </c>
      <c r="D65">
        <f>Raw_Data!I65</f>
        <v>145.80000000000001</v>
      </c>
      <c r="E65">
        <f>Raw_Data!J65</f>
        <v>3.99</v>
      </c>
    </row>
    <row r="66" spans="1:5" x14ac:dyDescent="0.25">
      <c r="A66" s="3">
        <f t="shared" si="1"/>
        <v>43678</v>
      </c>
      <c r="B66">
        <f>Raw_Data!B66</f>
        <v>2019</v>
      </c>
      <c r="C66" t="str">
        <f>Raw_Data!D66</f>
        <v>August</v>
      </c>
      <c r="D66">
        <f>Raw_Data!I66</f>
        <v>145</v>
      </c>
      <c r="E66">
        <f>Raw_Data!J66</f>
        <v>3.28</v>
      </c>
    </row>
    <row r="67" spans="1:5" x14ac:dyDescent="0.25">
      <c r="A67" s="3">
        <f t="shared" si="1"/>
        <v>43647</v>
      </c>
      <c r="B67">
        <f>Raw_Data!B67</f>
        <v>2019</v>
      </c>
      <c r="C67" t="str">
        <f>Raw_Data!D67</f>
        <v>July</v>
      </c>
      <c r="D67">
        <f>Raw_Data!I67</f>
        <v>144.19999999999999</v>
      </c>
      <c r="E67">
        <f>Raw_Data!J67</f>
        <v>3.15</v>
      </c>
    </row>
    <row r="68" spans="1:5" x14ac:dyDescent="0.25">
      <c r="A68" s="3">
        <f t="shared" si="1"/>
        <v>43617</v>
      </c>
      <c r="B68">
        <f>Raw_Data!B68</f>
        <v>2019</v>
      </c>
      <c r="C68" t="str">
        <f>Raw_Data!D68</f>
        <v>June</v>
      </c>
      <c r="D68">
        <f>Raw_Data!I68</f>
        <v>142.9</v>
      </c>
      <c r="E68">
        <f>Raw_Data!J68</f>
        <v>3.18</v>
      </c>
    </row>
    <row r="69" spans="1:5" x14ac:dyDescent="0.25">
      <c r="A69" s="3">
        <f t="shared" si="1"/>
        <v>43586</v>
      </c>
      <c r="B69">
        <f>Raw_Data!B69</f>
        <v>2019</v>
      </c>
      <c r="C69" t="str">
        <f>Raw_Data!D69</f>
        <v>May</v>
      </c>
      <c r="D69">
        <f>Raw_Data!I69</f>
        <v>142</v>
      </c>
      <c r="E69">
        <f>Raw_Data!J69</f>
        <v>3.05</v>
      </c>
    </row>
    <row r="70" spans="1:5" x14ac:dyDescent="0.25">
      <c r="A70" s="3">
        <f t="shared" si="1"/>
        <v>43556</v>
      </c>
      <c r="B70">
        <f>Raw_Data!B70</f>
        <v>2019</v>
      </c>
      <c r="C70" t="str">
        <f>Raw_Data!D70</f>
        <v>April</v>
      </c>
      <c r="D70">
        <f>Raw_Data!I70</f>
        <v>141.19999999999999</v>
      </c>
      <c r="E70">
        <f>Raw_Data!J70</f>
        <v>2.99</v>
      </c>
    </row>
    <row r="71" spans="1:5" x14ac:dyDescent="0.25">
      <c r="A71" s="3">
        <f t="shared" si="1"/>
        <v>43525</v>
      </c>
      <c r="B71">
        <f>Raw_Data!B71</f>
        <v>2019</v>
      </c>
      <c r="C71" t="str">
        <f>Raw_Data!D71</f>
        <v>March</v>
      </c>
      <c r="D71">
        <f>Raw_Data!I71</f>
        <v>140.4</v>
      </c>
      <c r="E71">
        <f>Raw_Data!J71</f>
        <v>2.86</v>
      </c>
    </row>
    <row r="72" spans="1:5" x14ac:dyDescent="0.25">
      <c r="A72" s="3">
        <f t="shared" si="1"/>
        <v>43497</v>
      </c>
      <c r="B72">
        <f>Raw_Data!B72</f>
        <v>2019</v>
      </c>
      <c r="C72" t="str">
        <f>Raw_Data!D72</f>
        <v>February</v>
      </c>
      <c r="D72">
        <f>Raw_Data!I72</f>
        <v>139.9</v>
      </c>
      <c r="E72">
        <f>Raw_Data!J72</f>
        <v>2.57</v>
      </c>
    </row>
    <row r="73" spans="1:5" x14ac:dyDescent="0.25">
      <c r="A73" s="3">
        <f t="shared" si="1"/>
        <v>43466</v>
      </c>
      <c r="B73">
        <f>Raw_Data!B73</f>
        <v>2019</v>
      </c>
      <c r="C73" t="str">
        <f>Raw_Data!D73</f>
        <v>January</v>
      </c>
      <c r="D73">
        <f>Raw_Data!I73</f>
        <v>139.6</v>
      </c>
      <c r="E73">
        <f>Raw_Data!J73</f>
        <v>1.97</v>
      </c>
    </row>
    <row r="74" spans="1:5" x14ac:dyDescent="0.25">
      <c r="A74" s="3">
        <f t="shared" si="1"/>
        <v>43435</v>
      </c>
      <c r="B74">
        <f>Raw_Data!B74</f>
        <v>2018</v>
      </c>
      <c r="C74" t="str">
        <f>Raw_Data!D74</f>
        <v>December</v>
      </c>
      <c r="D74">
        <f>Raw_Data!I74</f>
        <v>140.1</v>
      </c>
      <c r="E74">
        <f>Raw_Data!J74</f>
        <v>2.11</v>
      </c>
    </row>
    <row r="75" spans="1:5" x14ac:dyDescent="0.25">
      <c r="A75" s="3">
        <f t="shared" si="1"/>
        <v>43405</v>
      </c>
      <c r="B75">
        <f>Raw_Data!B75</f>
        <v>2018</v>
      </c>
      <c r="C75" t="str">
        <f>Raw_Data!D75</f>
        <v>November</v>
      </c>
      <c r="D75">
        <f>Raw_Data!I75</f>
        <v>140.80000000000001</v>
      </c>
      <c r="E75">
        <f>Raw_Data!J75</f>
        <v>2.33</v>
      </c>
    </row>
    <row r="76" spans="1:5" x14ac:dyDescent="0.25">
      <c r="A76" s="3">
        <f t="shared" si="1"/>
        <v>43374</v>
      </c>
      <c r="B76">
        <f>Raw_Data!B76</f>
        <v>2018</v>
      </c>
      <c r="C76" t="str">
        <f>Raw_Data!D76</f>
        <v>October</v>
      </c>
      <c r="D76">
        <f>Raw_Data!I76</f>
        <v>140.69999999999999</v>
      </c>
      <c r="E76">
        <f>Raw_Data!J76</f>
        <v>3.38</v>
      </c>
    </row>
    <row r="77" spans="1:5" x14ac:dyDescent="0.25">
      <c r="A77" s="3">
        <f t="shared" si="1"/>
        <v>43344</v>
      </c>
      <c r="B77">
        <f>Raw_Data!B77</f>
        <v>2018</v>
      </c>
      <c r="C77" t="str">
        <f>Raw_Data!D77</f>
        <v>September</v>
      </c>
      <c r="D77">
        <f>Raw_Data!I77</f>
        <v>140.19999999999999</v>
      </c>
      <c r="E77">
        <f>Raw_Data!J77</f>
        <v>3.7</v>
      </c>
    </row>
    <row r="78" spans="1:5" x14ac:dyDescent="0.25">
      <c r="A78" s="3">
        <f t="shared" si="1"/>
        <v>43313</v>
      </c>
      <c r="B78">
        <f>Raw_Data!B78</f>
        <v>2018</v>
      </c>
      <c r="C78" t="str">
        <f>Raw_Data!D78</f>
        <v>August</v>
      </c>
      <c r="D78">
        <f>Raw_Data!I78</f>
        <v>140.4</v>
      </c>
      <c r="E78">
        <f>Raw_Data!J78</f>
        <v>3.69</v>
      </c>
    </row>
    <row r="79" spans="1:5" x14ac:dyDescent="0.25">
      <c r="A79" s="3">
        <f t="shared" si="1"/>
        <v>43282</v>
      </c>
      <c r="B79">
        <f>Raw_Data!B79</f>
        <v>2018</v>
      </c>
      <c r="C79" t="str">
        <f>Raw_Data!D79</f>
        <v>July</v>
      </c>
      <c r="D79">
        <f>Raw_Data!I79</f>
        <v>139.80000000000001</v>
      </c>
      <c r="E79">
        <f>Raw_Data!J79</f>
        <v>4.17</v>
      </c>
    </row>
    <row r="80" spans="1:5" x14ac:dyDescent="0.25">
      <c r="A80" s="3">
        <f t="shared" si="1"/>
        <v>43252</v>
      </c>
      <c r="B80">
        <f>Raw_Data!B80</f>
        <v>2018</v>
      </c>
      <c r="C80" t="str">
        <f>Raw_Data!D80</f>
        <v>June</v>
      </c>
      <c r="D80">
        <f>Raw_Data!I80</f>
        <v>138.5</v>
      </c>
      <c r="E80">
        <f>Raw_Data!J80</f>
        <v>4.92</v>
      </c>
    </row>
    <row r="81" spans="1:5" x14ac:dyDescent="0.25">
      <c r="A81" s="3">
        <f t="shared" si="1"/>
        <v>43221</v>
      </c>
      <c r="B81">
        <f>Raw_Data!B81</f>
        <v>2018</v>
      </c>
      <c r="C81" t="str">
        <f>Raw_Data!D81</f>
        <v>May</v>
      </c>
      <c r="D81">
        <f>Raw_Data!I81</f>
        <v>137.80000000000001</v>
      </c>
      <c r="E81">
        <f>Raw_Data!J81</f>
        <v>4.87</v>
      </c>
    </row>
    <row r="82" spans="1:5" x14ac:dyDescent="0.25">
      <c r="A82" s="3">
        <f t="shared" si="1"/>
        <v>43191</v>
      </c>
      <c r="B82">
        <f>Raw_Data!B82</f>
        <v>2018</v>
      </c>
      <c r="C82" t="str">
        <f>Raw_Data!D82</f>
        <v>April</v>
      </c>
      <c r="D82">
        <f>Raw_Data!I82</f>
        <v>137.1</v>
      </c>
      <c r="E82">
        <f>Raw_Data!J82</f>
        <v>4.58</v>
      </c>
    </row>
    <row r="83" spans="1:5" x14ac:dyDescent="0.25">
      <c r="A83" s="3">
        <f t="shared" si="1"/>
        <v>43160</v>
      </c>
      <c r="B83">
        <f>Raw_Data!B83</f>
        <v>2018</v>
      </c>
      <c r="C83" t="str">
        <f>Raw_Data!D83</f>
        <v>March</v>
      </c>
      <c r="D83">
        <f>Raw_Data!I83</f>
        <v>136.5</v>
      </c>
      <c r="E83">
        <f>Raw_Data!J83</f>
        <v>4.28</v>
      </c>
    </row>
    <row r="84" spans="1:5" x14ac:dyDescent="0.25">
      <c r="A84" s="3">
        <f t="shared" si="1"/>
        <v>43132</v>
      </c>
      <c r="B84">
        <f>Raw_Data!B84</f>
        <v>2018</v>
      </c>
      <c r="C84" t="str">
        <f>Raw_Data!D84</f>
        <v>February</v>
      </c>
      <c r="D84">
        <f>Raw_Data!I84</f>
        <v>136.4</v>
      </c>
      <c r="E84">
        <f>Raw_Data!J84</f>
        <v>4.4400000000000004</v>
      </c>
    </row>
    <row r="85" spans="1:5" x14ac:dyDescent="0.25">
      <c r="A85" s="3">
        <f t="shared" si="1"/>
        <v>43101</v>
      </c>
      <c r="B85">
        <f>Raw_Data!B85</f>
        <v>2018</v>
      </c>
      <c r="C85" t="str">
        <f>Raw_Data!D85</f>
        <v>January</v>
      </c>
      <c r="D85">
        <f>Raw_Data!I85</f>
        <v>136.9</v>
      </c>
      <c r="E85">
        <f>Raw_Data!J85</f>
        <v>5.07</v>
      </c>
    </row>
    <row r="86" spans="1:5" x14ac:dyDescent="0.25">
      <c r="A86" s="3">
        <f t="shared" si="1"/>
        <v>43070</v>
      </c>
      <c r="B86">
        <f>Raw_Data!B86</f>
        <v>2017</v>
      </c>
      <c r="C86" t="str">
        <f>Raw_Data!D86</f>
        <v>December</v>
      </c>
      <c r="D86">
        <f>Raw_Data!I86</f>
        <v>137.19999999999999</v>
      </c>
      <c r="E86">
        <f>Raw_Data!J86</f>
        <v>5.21</v>
      </c>
    </row>
    <row r="87" spans="1:5" x14ac:dyDescent="0.25">
      <c r="A87" s="3">
        <f t="shared" si="1"/>
        <v>43040</v>
      </c>
      <c r="B87">
        <f>Raw_Data!B87</f>
        <v>2017</v>
      </c>
      <c r="C87" t="str">
        <f>Raw_Data!D87</f>
        <v>November</v>
      </c>
      <c r="D87">
        <f>Raw_Data!I87</f>
        <v>137.6</v>
      </c>
      <c r="E87">
        <f>Raw_Data!J87</f>
        <v>4.88</v>
      </c>
    </row>
    <row r="88" spans="1:5" x14ac:dyDescent="0.25">
      <c r="A88" s="3">
        <f t="shared" si="1"/>
        <v>43009</v>
      </c>
      <c r="B88">
        <f>Raw_Data!B88</f>
        <v>2017</v>
      </c>
      <c r="C88" t="str">
        <f>Raw_Data!D88</f>
        <v>October</v>
      </c>
      <c r="D88">
        <f>Raw_Data!I88</f>
        <v>136.1</v>
      </c>
      <c r="E88">
        <f>Raw_Data!J88</f>
        <v>3.58</v>
      </c>
    </row>
    <row r="89" spans="1:5" x14ac:dyDescent="0.25">
      <c r="A89" s="3">
        <f t="shared" si="1"/>
        <v>42979</v>
      </c>
      <c r="B89">
        <f>Raw_Data!B89</f>
        <v>2017</v>
      </c>
      <c r="C89" t="str">
        <f>Raw_Data!D89</f>
        <v>September</v>
      </c>
      <c r="D89">
        <f>Raw_Data!I89</f>
        <v>135.19999999999999</v>
      </c>
      <c r="E89">
        <f>Raw_Data!J89</f>
        <v>3.28</v>
      </c>
    </row>
    <row r="90" spans="1:5" x14ac:dyDescent="0.25">
      <c r="A90" s="3">
        <f t="shared" si="1"/>
        <v>42948</v>
      </c>
      <c r="B90">
        <f>Raw_Data!B90</f>
        <v>2017</v>
      </c>
      <c r="C90" t="str">
        <f>Raw_Data!D90</f>
        <v>August</v>
      </c>
      <c r="D90">
        <f>Raw_Data!I90</f>
        <v>135.4</v>
      </c>
      <c r="E90">
        <f>Raw_Data!J90</f>
        <v>3.28</v>
      </c>
    </row>
    <row r="91" spans="1:5" x14ac:dyDescent="0.25">
      <c r="A91" s="3">
        <f t="shared" si="1"/>
        <v>42917</v>
      </c>
      <c r="B91">
        <f>Raw_Data!B91</f>
        <v>2017</v>
      </c>
      <c r="C91" t="str">
        <f>Raw_Data!D91</f>
        <v>July</v>
      </c>
      <c r="D91">
        <f>Raw_Data!I91</f>
        <v>134.19999999999999</v>
      </c>
      <c r="E91">
        <f>Raw_Data!J91</f>
        <v>2.36</v>
      </c>
    </row>
    <row r="92" spans="1:5" x14ac:dyDescent="0.25">
      <c r="A92" s="3">
        <f t="shared" si="1"/>
        <v>42887</v>
      </c>
      <c r="B92">
        <f>Raw_Data!B92</f>
        <v>2017</v>
      </c>
      <c r="C92" t="str">
        <f>Raw_Data!D92</f>
        <v>June</v>
      </c>
      <c r="D92">
        <f>Raw_Data!I92</f>
        <v>132</v>
      </c>
      <c r="E92">
        <f>Raw_Data!J92</f>
        <v>1.46</v>
      </c>
    </row>
    <row r="93" spans="1:5" x14ac:dyDescent="0.25">
      <c r="A93" s="3">
        <f t="shared" si="1"/>
        <v>42856</v>
      </c>
      <c r="B93">
        <f>Raw_Data!B93</f>
        <v>2017</v>
      </c>
      <c r="C93" t="str">
        <f>Raw_Data!D93</f>
        <v>May</v>
      </c>
      <c r="D93">
        <f>Raw_Data!I93</f>
        <v>131.4</v>
      </c>
      <c r="E93">
        <f>Raw_Data!J93</f>
        <v>2.1800000000000002</v>
      </c>
    </row>
    <row r="94" spans="1:5" x14ac:dyDescent="0.25">
      <c r="A94" s="3">
        <f t="shared" si="1"/>
        <v>42826</v>
      </c>
      <c r="B94">
        <f>Raw_Data!B94</f>
        <v>2017</v>
      </c>
      <c r="C94" t="str">
        <f>Raw_Data!D94</f>
        <v>April</v>
      </c>
      <c r="D94">
        <f>Raw_Data!I94</f>
        <v>131.1</v>
      </c>
      <c r="E94">
        <f>Raw_Data!J94</f>
        <v>2.99</v>
      </c>
    </row>
    <row r="95" spans="1:5" x14ac:dyDescent="0.25">
      <c r="A95" s="3">
        <f t="shared" si="1"/>
        <v>42795</v>
      </c>
      <c r="B95">
        <f>Raw_Data!B95</f>
        <v>2017</v>
      </c>
      <c r="C95" t="str">
        <f>Raw_Data!D95</f>
        <v>March</v>
      </c>
      <c r="D95">
        <f>Raw_Data!I95</f>
        <v>130.9</v>
      </c>
      <c r="E95">
        <f>Raw_Data!J95</f>
        <v>3.89</v>
      </c>
    </row>
    <row r="96" spans="1:5" x14ac:dyDescent="0.25">
      <c r="A96" s="3">
        <f t="shared" si="1"/>
        <v>42767</v>
      </c>
      <c r="B96">
        <f>Raw_Data!B96</f>
        <v>2017</v>
      </c>
      <c r="C96" t="str">
        <f>Raw_Data!D96</f>
        <v>February</v>
      </c>
      <c r="D96">
        <f>Raw_Data!I96</f>
        <v>130.6</v>
      </c>
      <c r="E96">
        <f>Raw_Data!J96</f>
        <v>3.65</v>
      </c>
    </row>
    <row r="97" spans="1:5" x14ac:dyDescent="0.25">
      <c r="A97" s="3">
        <f t="shared" si="1"/>
        <v>42736</v>
      </c>
      <c r="B97">
        <f>Raw_Data!B97</f>
        <v>2017</v>
      </c>
      <c r="C97" t="str">
        <f>Raw_Data!D97</f>
        <v>January</v>
      </c>
      <c r="D97">
        <f>Raw_Data!I97</f>
        <v>130.30000000000001</v>
      </c>
      <c r="E97">
        <f>Raw_Data!J97</f>
        <v>3.17</v>
      </c>
    </row>
    <row r="98" spans="1:5" x14ac:dyDescent="0.25">
      <c r="A98" s="3">
        <f t="shared" si="1"/>
        <v>42705</v>
      </c>
      <c r="B98">
        <f>Raw_Data!B98</f>
        <v>2016</v>
      </c>
      <c r="C98" t="str">
        <f>Raw_Data!D98</f>
        <v>December</v>
      </c>
      <c r="D98">
        <f>Raw_Data!I98</f>
        <v>130.4</v>
      </c>
      <c r="E98">
        <f>Raw_Data!J98</f>
        <v>3.41</v>
      </c>
    </row>
    <row r="99" spans="1:5" x14ac:dyDescent="0.25">
      <c r="A99" s="3">
        <f t="shared" si="1"/>
        <v>42675</v>
      </c>
      <c r="B99">
        <f>Raw_Data!B99</f>
        <v>2016</v>
      </c>
      <c r="C99" t="str">
        <f>Raw_Data!D99</f>
        <v>November</v>
      </c>
      <c r="D99">
        <f>Raw_Data!I99</f>
        <v>131.19999999999999</v>
      </c>
      <c r="E99">
        <f>Raw_Data!J99</f>
        <v>3.63</v>
      </c>
    </row>
    <row r="100" spans="1:5" x14ac:dyDescent="0.25">
      <c r="A100" s="3">
        <f t="shared" si="1"/>
        <v>42644</v>
      </c>
      <c r="B100">
        <f>Raw_Data!B100</f>
        <v>2016</v>
      </c>
      <c r="C100" t="str">
        <f>Raw_Data!D100</f>
        <v>October</v>
      </c>
      <c r="D100">
        <f>Raw_Data!I100</f>
        <v>131.4</v>
      </c>
      <c r="E100">
        <f>Raw_Data!J100</f>
        <v>4.2</v>
      </c>
    </row>
    <row r="101" spans="1:5" x14ac:dyDescent="0.25">
      <c r="A101" s="3">
        <f t="shared" si="1"/>
        <v>42614</v>
      </c>
      <c r="B101">
        <f>Raw_Data!B101</f>
        <v>2016</v>
      </c>
      <c r="C101" t="str">
        <f>Raw_Data!D101</f>
        <v>September</v>
      </c>
      <c r="D101">
        <f>Raw_Data!I101</f>
        <v>130.9</v>
      </c>
      <c r="E101">
        <f>Raw_Data!J101</f>
        <v>4.3899999999999997</v>
      </c>
    </row>
    <row r="102" spans="1:5" x14ac:dyDescent="0.25">
      <c r="A102" s="3">
        <f t="shared" si="1"/>
        <v>42583</v>
      </c>
      <c r="B102">
        <f>Raw_Data!B102</f>
        <v>2016</v>
      </c>
      <c r="C102" t="str">
        <f>Raw_Data!D102</f>
        <v>August</v>
      </c>
      <c r="D102">
        <f>Raw_Data!I102</f>
        <v>131.1</v>
      </c>
      <c r="E102">
        <f>Raw_Data!J102</f>
        <v>5.05</v>
      </c>
    </row>
    <row r="103" spans="1:5" x14ac:dyDescent="0.25">
      <c r="A103" s="3">
        <f t="shared" si="1"/>
        <v>42552</v>
      </c>
      <c r="B103">
        <f>Raw_Data!B103</f>
        <v>2016</v>
      </c>
      <c r="C103" t="str">
        <f>Raw_Data!D103</f>
        <v>July</v>
      </c>
      <c r="D103">
        <f>Raw_Data!I103</f>
        <v>131.1</v>
      </c>
      <c r="E103">
        <f>Raw_Data!J103</f>
        <v>6.07</v>
      </c>
    </row>
    <row r="104" spans="1:5" x14ac:dyDescent="0.25">
      <c r="A104" s="3">
        <f t="shared" si="1"/>
        <v>42522</v>
      </c>
      <c r="B104">
        <f>Raw_Data!B104</f>
        <v>2016</v>
      </c>
      <c r="C104" t="str">
        <f>Raw_Data!D104</f>
        <v>June</v>
      </c>
      <c r="D104">
        <f>Raw_Data!I104</f>
        <v>130.1</v>
      </c>
      <c r="E104">
        <f>Raw_Data!J104</f>
        <v>5.77</v>
      </c>
    </row>
    <row r="105" spans="1:5" x14ac:dyDescent="0.25">
      <c r="A105" s="3">
        <f t="shared" si="1"/>
        <v>42491</v>
      </c>
      <c r="B105">
        <f>Raw_Data!B105</f>
        <v>2016</v>
      </c>
      <c r="C105" t="str">
        <f>Raw_Data!D105</f>
        <v>May</v>
      </c>
      <c r="D105">
        <f>Raw_Data!I105</f>
        <v>128.6</v>
      </c>
      <c r="E105">
        <f>Raw_Data!J105</f>
        <v>5.76</v>
      </c>
    </row>
    <row r="106" spans="1:5" x14ac:dyDescent="0.25">
      <c r="A106" s="3">
        <f t="shared" si="1"/>
        <v>42461</v>
      </c>
      <c r="B106">
        <f>Raw_Data!B106</f>
        <v>2016</v>
      </c>
      <c r="C106" t="str">
        <f>Raw_Data!D106</f>
        <v>April</v>
      </c>
      <c r="D106">
        <f>Raw_Data!I106</f>
        <v>127.3</v>
      </c>
      <c r="E106">
        <f>Raw_Data!J106</f>
        <v>5.47</v>
      </c>
    </row>
    <row r="107" spans="1:5" x14ac:dyDescent="0.25">
      <c r="A107" s="3">
        <f t="shared" si="1"/>
        <v>42430</v>
      </c>
      <c r="B107">
        <f>Raw_Data!B107</f>
        <v>2016</v>
      </c>
      <c r="C107" t="str">
        <f>Raw_Data!D107</f>
        <v>March</v>
      </c>
      <c r="D107">
        <f>Raw_Data!I107</f>
        <v>126</v>
      </c>
      <c r="E107">
        <f>Raw_Data!J107</f>
        <v>4.83</v>
      </c>
    </row>
    <row r="108" spans="1:5" x14ac:dyDescent="0.25">
      <c r="A108" s="3">
        <f t="shared" si="1"/>
        <v>42401</v>
      </c>
      <c r="B108">
        <f>Raw_Data!B108</f>
        <v>2016</v>
      </c>
      <c r="C108" t="str">
        <f>Raw_Data!D108</f>
        <v>February</v>
      </c>
      <c r="D108">
        <f>Raw_Data!I108</f>
        <v>126</v>
      </c>
      <c r="E108">
        <f>Raw_Data!J108</f>
        <v>5.26</v>
      </c>
    </row>
    <row r="109" spans="1:5" x14ac:dyDescent="0.25">
      <c r="A109" s="3">
        <f t="shared" si="1"/>
        <v>42370</v>
      </c>
      <c r="B109">
        <f>Raw_Data!B109</f>
        <v>2016</v>
      </c>
      <c r="C109" t="str">
        <f>Raw_Data!D109</f>
        <v>January</v>
      </c>
      <c r="D109">
        <f>Raw_Data!I109</f>
        <v>126.3</v>
      </c>
      <c r="E109">
        <f>Raw_Data!J109</f>
        <v>5.69</v>
      </c>
    </row>
    <row r="110" spans="1:5" x14ac:dyDescent="0.25">
      <c r="A110" s="3">
        <f t="shared" si="1"/>
        <v>42339</v>
      </c>
      <c r="B110">
        <f>Raw_Data!B110</f>
        <v>2015</v>
      </c>
      <c r="C110" t="str">
        <f>Raw_Data!D110</f>
        <v>December</v>
      </c>
      <c r="D110">
        <f>Raw_Data!I110</f>
        <v>126.1</v>
      </c>
      <c r="E110">
        <f>Raw_Data!J110</f>
        <v>5.61</v>
      </c>
    </row>
    <row r="111" spans="1:5" x14ac:dyDescent="0.25">
      <c r="A111" s="3">
        <f t="shared" si="1"/>
        <v>42309</v>
      </c>
      <c r="B111">
        <f>Raw_Data!B111</f>
        <v>2015</v>
      </c>
      <c r="C111" t="str">
        <f>Raw_Data!D111</f>
        <v>November</v>
      </c>
      <c r="D111">
        <f>Raw_Data!I111</f>
        <v>126.6</v>
      </c>
      <c r="E111">
        <f>Raw_Data!J111</f>
        <v>5.41</v>
      </c>
    </row>
    <row r="112" spans="1:5" x14ac:dyDescent="0.25">
      <c r="A112" s="3">
        <f t="shared" si="1"/>
        <v>42278</v>
      </c>
      <c r="B112">
        <f>Raw_Data!B112</f>
        <v>2015</v>
      </c>
      <c r="C112" t="str">
        <f>Raw_Data!D112</f>
        <v>October</v>
      </c>
      <c r="D112">
        <f>Raw_Data!I112</f>
        <v>126.1</v>
      </c>
      <c r="E112">
        <f>Raw_Data!J112</f>
        <v>5</v>
      </c>
    </row>
    <row r="113" spans="1:5" x14ac:dyDescent="0.25">
      <c r="A113" s="3">
        <f t="shared" si="1"/>
        <v>42248</v>
      </c>
      <c r="B113">
        <f>Raw_Data!B113</f>
        <v>2015</v>
      </c>
      <c r="C113" t="str">
        <f>Raw_Data!D113</f>
        <v>September</v>
      </c>
      <c r="D113">
        <f>Raw_Data!I113</f>
        <v>125.4</v>
      </c>
      <c r="E113">
        <f>Raw_Data!J113</f>
        <v>4.41</v>
      </c>
    </row>
    <row r="114" spans="1:5" x14ac:dyDescent="0.25">
      <c r="A114" s="3">
        <f t="shared" si="1"/>
        <v>42217</v>
      </c>
      <c r="B114">
        <f>Raw_Data!B114</f>
        <v>2015</v>
      </c>
      <c r="C114" t="str">
        <f>Raw_Data!D114</f>
        <v>August</v>
      </c>
      <c r="D114">
        <f>Raw_Data!I114</f>
        <v>124.8</v>
      </c>
      <c r="E114">
        <f>Raw_Data!J114</f>
        <v>3.74</v>
      </c>
    </row>
    <row r="115" spans="1:5" x14ac:dyDescent="0.25">
      <c r="A115" s="3">
        <f t="shared" si="1"/>
        <v>42186</v>
      </c>
      <c r="B115">
        <f>Raw_Data!B115</f>
        <v>2015</v>
      </c>
      <c r="C115" t="str">
        <f>Raw_Data!D115</f>
        <v>July</v>
      </c>
      <c r="D115">
        <f>Raw_Data!I115</f>
        <v>123.6</v>
      </c>
      <c r="E115">
        <f>Raw_Data!J115</f>
        <v>3.69</v>
      </c>
    </row>
    <row r="116" spans="1:5" x14ac:dyDescent="0.25">
      <c r="A116" s="3">
        <f t="shared" si="1"/>
        <v>42156</v>
      </c>
      <c r="B116">
        <f>Raw_Data!B116</f>
        <v>2015</v>
      </c>
      <c r="C116" t="str">
        <f>Raw_Data!D116</f>
        <v>June</v>
      </c>
      <c r="D116">
        <f>Raw_Data!I116</f>
        <v>123</v>
      </c>
      <c r="E116">
        <f>Raw_Data!J116</f>
        <v>5.4</v>
      </c>
    </row>
    <row r="117" spans="1:5" x14ac:dyDescent="0.25">
      <c r="A117" s="3">
        <f t="shared" si="1"/>
        <v>42125</v>
      </c>
      <c r="B117">
        <f>Raw_Data!B117</f>
        <v>2015</v>
      </c>
      <c r="C117" t="str">
        <f>Raw_Data!D117</f>
        <v>May</v>
      </c>
      <c r="D117">
        <f>Raw_Data!I117</f>
        <v>121.6</v>
      </c>
      <c r="E117">
        <f>Raw_Data!J117</f>
        <v>5.01</v>
      </c>
    </row>
    <row r="118" spans="1:5" x14ac:dyDescent="0.25">
      <c r="A118" s="3">
        <f t="shared" si="1"/>
        <v>42095</v>
      </c>
      <c r="B118">
        <f>Raw_Data!B118</f>
        <v>2015</v>
      </c>
      <c r="C118" t="str">
        <f>Raw_Data!D118</f>
        <v>April</v>
      </c>
      <c r="D118">
        <f>Raw_Data!I118</f>
        <v>120.7</v>
      </c>
      <c r="E118">
        <f>Raw_Data!J118</f>
        <v>4.87</v>
      </c>
    </row>
    <row r="119" spans="1:5" x14ac:dyDescent="0.25">
      <c r="A119" s="3">
        <f t="shared" si="1"/>
        <v>42064</v>
      </c>
      <c r="B119">
        <f>Raw_Data!B119</f>
        <v>2015</v>
      </c>
      <c r="C119" t="str">
        <f>Raw_Data!D119</f>
        <v>March</v>
      </c>
      <c r="D119">
        <f>Raw_Data!I119</f>
        <v>120.2</v>
      </c>
      <c r="E119">
        <f>Raw_Data!J119</f>
        <v>5.25</v>
      </c>
    </row>
    <row r="120" spans="1:5" x14ac:dyDescent="0.25">
      <c r="A120" s="3">
        <f t="shared" si="1"/>
        <v>42036</v>
      </c>
      <c r="B120">
        <f>Raw_Data!B120</f>
        <v>2015</v>
      </c>
      <c r="C120" t="str">
        <f>Raw_Data!D120</f>
        <v>February</v>
      </c>
      <c r="D120">
        <f>Raw_Data!I120</f>
        <v>119.7</v>
      </c>
      <c r="E120">
        <f>Raw_Data!J120</f>
        <v>5.37</v>
      </c>
    </row>
    <row r="121" spans="1:5" x14ac:dyDescent="0.25">
      <c r="A121" s="3">
        <f t="shared" si="1"/>
        <v>42005</v>
      </c>
      <c r="B121">
        <f>Raw_Data!B121</f>
        <v>2015</v>
      </c>
      <c r="C121" t="str">
        <f>Raw_Data!D121</f>
        <v>January</v>
      </c>
      <c r="D121">
        <f>Raw_Data!I121</f>
        <v>119.5</v>
      </c>
      <c r="E121">
        <f>Raw_Data!J121</f>
        <v>5.19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0BAF-922B-447D-AB5B-F9A34441EB6C}">
  <dimension ref="A1:B7"/>
  <sheetViews>
    <sheetView workbookViewId="0">
      <selection activeCell="B20" sqref="B20"/>
    </sheetView>
  </sheetViews>
  <sheetFormatPr defaultRowHeight="15" x14ac:dyDescent="0.25"/>
  <cols>
    <col min="1" max="1" width="32.5703125" customWidth="1"/>
    <col min="2" max="2" width="41.28515625" customWidth="1"/>
  </cols>
  <sheetData>
    <row r="1" spans="1:2" x14ac:dyDescent="0.25">
      <c r="A1" s="4" t="s">
        <v>39</v>
      </c>
      <c r="B1" s="4" t="s">
        <v>40</v>
      </c>
    </row>
    <row r="2" spans="1:2" ht="30" x14ac:dyDescent="0.25">
      <c r="A2" s="5" t="s">
        <v>34</v>
      </c>
      <c r="B2" s="5">
        <f>AVERAGE(Cleaned_Data!E:E)</f>
        <v>4.8825833333333319</v>
      </c>
    </row>
    <row r="3" spans="1:2" ht="45" x14ac:dyDescent="0.25">
      <c r="A3" s="5" t="s">
        <v>35</v>
      </c>
      <c r="B3" s="5">
        <f>MAX(Cleaned_Data!E:E)</f>
        <v>7.79</v>
      </c>
    </row>
    <row r="4" spans="1:2" ht="45" x14ac:dyDescent="0.25">
      <c r="A4" s="5" t="s">
        <v>36</v>
      </c>
      <c r="B4" s="5">
        <f>MIN(Cleaned_Data!E:E)</f>
        <v>0</v>
      </c>
    </row>
    <row r="5" spans="1:2" ht="45" x14ac:dyDescent="0.25">
      <c r="A5" s="5" t="s">
        <v>37</v>
      </c>
      <c r="B5" s="5">
        <f>AVERAGE(Cleaned_Data!D:D)</f>
        <v>152.82416666666663</v>
      </c>
    </row>
    <row r="6" spans="1:2" ht="45" x14ac:dyDescent="0.25">
      <c r="A6" s="5" t="s">
        <v>41</v>
      </c>
      <c r="B6" s="5">
        <v>2022</v>
      </c>
    </row>
    <row r="7" spans="1:2" ht="45" x14ac:dyDescent="0.25">
      <c r="A7" s="5" t="s">
        <v>42</v>
      </c>
      <c r="B7" s="5">
        <v>2017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2B0BE-DD19-434C-95E2-329814BFDB86}">
  <dimension ref="A1:F23"/>
  <sheetViews>
    <sheetView tabSelected="1" workbookViewId="0">
      <selection activeCell="H5" sqref="H5"/>
    </sheetView>
  </sheetViews>
  <sheetFormatPr defaultRowHeight="15" x14ac:dyDescent="0.25"/>
  <cols>
    <col min="1" max="1" width="11.28515625" customWidth="1"/>
    <col min="2" max="2" width="16.42578125" customWidth="1"/>
    <col min="5" max="5" width="13" customWidth="1"/>
    <col min="6" max="6" width="11.7109375" customWidth="1"/>
  </cols>
  <sheetData>
    <row r="1" spans="1:6" ht="51.75" customHeight="1" x14ac:dyDescent="0.35">
      <c r="A1" s="21" t="s">
        <v>77</v>
      </c>
    </row>
    <row r="2" spans="1:6" ht="36.75" customHeight="1" x14ac:dyDescent="0.25"/>
    <row r="3" spans="1:6" hidden="1" x14ac:dyDescent="0.25"/>
    <row r="4" spans="1:6" hidden="1" x14ac:dyDescent="0.25"/>
    <row r="5" spans="1:6" ht="81.75" customHeight="1" x14ac:dyDescent="0.25">
      <c r="A5" s="12" t="s">
        <v>48</v>
      </c>
      <c r="B5" s="13" t="s">
        <v>34</v>
      </c>
      <c r="C5" s="13" t="s">
        <v>41</v>
      </c>
      <c r="D5" s="13" t="s">
        <v>42</v>
      </c>
      <c r="E5" s="13" t="s">
        <v>37</v>
      </c>
    </row>
    <row r="6" spans="1:6" ht="60.75" customHeight="1" x14ac:dyDescent="0.25">
      <c r="A6" s="12" t="s">
        <v>76</v>
      </c>
      <c r="B6" s="14">
        <v>4.8800000000000003E-2</v>
      </c>
      <c r="C6" s="15">
        <v>2022</v>
      </c>
      <c r="D6" s="15">
        <v>2017</v>
      </c>
      <c r="E6" s="15">
        <v>152.82</v>
      </c>
    </row>
    <row r="10" spans="1:6" ht="24" customHeight="1" x14ac:dyDescent="0.25"/>
    <row r="11" spans="1:6" ht="28.5" customHeight="1" x14ac:dyDescent="0.25"/>
    <row r="12" spans="1:6" ht="27.75" customHeight="1" x14ac:dyDescent="0.25">
      <c r="E12" s="17" t="s">
        <v>43</v>
      </c>
      <c r="F12" s="17" t="s">
        <v>44</v>
      </c>
    </row>
    <row r="13" spans="1:6" ht="27" customHeight="1" x14ac:dyDescent="0.25">
      <c r="A13" s="16" t="s">
        <v>38</v>
      </c>
      <c r="B13" s="16" t="s">
        <v>34</v>
      </c>
      <c r="E13" s="18" t="s">
        <v>45</v>
      </c>
      <c r="F13" s="18">
        <f>AVERAGE(B14:B18)</f>
        <v>4.1749999999999989</v>
      </c>
    </row>
    <row r="14" spans="1:6" ht="24.75" customHeight="1" x14ac:dyDescent="0.25">
      <c r="A14" s="16">
        <v>2015</v>
      </c>
      <c r="B14" s="16">
        <f>AVERAGEIF(Cleaned_Data!B:B,A14,Cleaned_Data!E:E)</f>
        <v>4.9124999999999996</v>
      </c>
      <c r="E14" s="18" t="s">
        <v>46</v>
      </c>
      <c r="F14" s="18">
        <f>AVERAGE(B19:B21)</f>
        <v>5.7808333333333328</v>
      </c>
    </row>
    <row r="15" spans="1:6" ht="33" customHeight="1" x14ac:dyDescent="0.25">
      <c r="A15" s="16">
        <v>2016</v>
      </c>
      <c r="B15" s="16">
        <f>AVERAGEIF(Cleaned_Data!B:B,A15,Cleaned_Data!E:E)</f>
        <v>4.9608333333333325</v>
      </c>
      <c r="E15" s="18" t="s">
        <v>47</v>
      </c>
      <c r="F15" s="18">
        <f>AVERAGE(B22:B23)</f>
        <v>5.3041666666666663</v>
      </c>
    </row>
    <row r="16" spans="1:6" ht="21.75" customHeight="1" x14ac:dyDescent="0.25">
      <c r="A16" s="16">
        <v>2017</v>
      </c>
      <c r="B16" s="16">
        <f>AVERAGEIF(Cleaned_Data!B:B,A16,Cleaned_Data!E:E)</f>
        <v>3.3275000000000001</v>
      </c>
    </row>
    <row r="17" spans="1:6" ht="22.5" customHeight="1" x14ac:dyDescent="0.25">
      <c r="A17" s="16">
        <v>2018</v>
      </c>
      <c r="B17" s="16">
        <f>AVERAGEIF(Cleaned_Data!B:B,A17,Cleaned_Data!E:E)</f>
        <v>3.9616666666666664</v>
      </c>
    </row>
    <row r="18" spans="1:6" ht="22.5" customHeight="1" x14ac:dyDescent="0.25">
      <c r="A18" s="16">
        <v>2019</v>
      </c>
      <c r="B18" s="16">
        <f>AVERAGEIF(Cleaned_Data!B:B,A18,Cleaned_Data!E:E)</f>
        <v>3.7124999999999999</v>
      </c>
      <c r="E18" s="17" t="s">
        <v>43</v>
      </c>
      <c r="F18" s="19" t="s">
        <v>44</v>
      </c>
    </row>
    <row r="19" spans="1:6" ht="26.25" customHeight="1" x14ac:dyDescent="0.25">
      <c r="A19" s="16">
        <v>2020</v>
      </c>
      <c r="B19" s="16">
        <f>AVERAGEIF(Cleaned_Data!B:B,A19,Cleaned_Data!E:E)</f>
        <v>5.5049999999999999</v>
      </c>
      <c r="E19" s="18" t="s">
        <v>49</v>
      </c>
      <c r="F19" s="20">
        <v>4.18</v>
      </c>
    </row>
    <row r="20" spans="1:6" ht="22.5" customHeight="1" x14ac:dyDescent="0.25">
      <c r="A20" s="16">
        <v>2021</v>
      </c>
      <c r="B20" s="16">
        <f>AVERAGEIF(Cleaned_Data!B:B,A20,Cleaned_Data!E:E)</f>
        <v>5.1408333333333331</v>
      </c>
      <c r="E20" s="18" t="s">
        <v>50</v>
      </c>
      <c r="F20" s="20">
        <v>5.78</v>
      </c>
    </row>
    <row r="21" spans="1:6" x14ac:dyDescent="0.25">
      <c r="A21" s="16">
        <v>2022</v>
      </c>
      <c r="B21" s="16">
        <f>AVERAGEIF(Cleaned_Data!B:B,A21,Cleaned_Data!E:E)</f>
        <v>6.6966666666666663</v>
      </c>
      <c r="E21" s="18" t="s">
        <v>51</v>
      </c>
      <c r="F21" s="20">
        <v>5.3</v>
      </c>
    </row>
    <row r="22" spans="1:6" x14ac:dyDescent="0.25">
      <c r="A22" s="16">
        <v>2023</v>
      </c>
      <c r="B22" s="16">
        <f>AVERAGEIF(Cleaned_Data!B:B,A22,Cleaned_Data!E:E)</f>
        <v>5.6583333333333323</v>
      </c>
      <c r="E22" s="5"/>
      <c r="F22" s="5"/>
    </row>
    <row r="23" spans="1:6" x14ac:dyDescent="0.25">
      <c r="A23" s="16">
        <v>2024</v>
      </c>
      <c r="B23" s="16">
        <f>AVERAGEIF(Cleaned_Data!B:B,A23,Cleaned_Data!E:E)</f>
        <v>4.95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08C4-2507-423F-9F4E-77A2E78194E3}">
  <dimension ref="A1:K121"/>
  <sheetViews>
    <sheetView workbookViewId="0">
      <selection activeCell="S11" sqref="S11"/>
    </sheetView>
  </sheetViews>
  <sheetFormatPr defaultRowHeight="15" x14ac:dyDescent="0.25"/>
  <cols>
    <col min="10" max="10" width="9.140625" style="6"/>
  </cols>
  <sheetData>
    <row r="1" spans="1:11" x14ac:dyDescent="0.25">
      <c r="A1" t="s">
        <v>0</v>
      </c>
      <c r="B1" t="s">
        <v>1</v>
      </c>
      <c r="C1" t="s">
        <v>2</v>
      </c>
      <c r="D1" t="s">
        <v>3</v>
      </c>
      <c r="E1" t="s">
        <v>4</v>
      </c>
      <c r="F1" t="s">
        <v>5</v>
      </c>
      <c r="G1" t="s">
        <v>6</v>
      </c>
      <c r="H1" t="s">
        <v>7</v>
      </c>
      <c r="I1" t="s">
        <v>8</v>
      </c>
      <c r="J1" s="6" t="s">
        <v>9</v>
      </c>
      <c r="K1" t="s">
        <v>10</v>
      </c>
    </row>
    <row r="2" spans="1:11" x14ac:dyDescent="0.25">
      <c r="A2">
        <v>2012</v>
      </c>
      <c r="B2">
        <v>2024</v>
      </c>
      <c r="C2">
        <v>12</v>
      </c>
      <c r="D2" t="s">
        <v>11</v>
      </c>
      <c r="E2" t="s">
        <v>12</v>
      </c>
      <c r="F2" t="s">
        <v>13</v>
      </c>
      <c r="G2" t="s">
        <v>52</v>
      </c>
      <c r="H2" t="s">
        <v>53</v>
      </c>
      <c r="I2">
        <v>205.9</v>
      </c>
      <c r="J2">
        <v>7.69</v>
      </c>
      <c r="K2" t="s">
        <v>16</v>
      </c>
    </row>
    <row r="3" spans="1:11" x14ac:dyDescent="0.25">
      <c r="A3">
        <v>2012</v>
      </c>
      <c r="B3">
        <v>2024</v>
      </c>
      <c r="C3">
        <v>11</v>
      </c>
      <c r="D3" t="s">
        <v>17</v>
      </c>
      <c r="E3" t="s">
        <v>12</v>
      </c>
      <c r="F3" t="s">
        <v>13</v>
      </c>
      <c r="G3" t="s">
        <v>52</v>
      </c>
      <c r="H3" t="s">
        <v>53</v>
      </c>
      <c r="I3">
        <v>208.4</v>
      </c>
      <c r="J3">
        <v>8.1999999999999993</v>
      </c>
      <c r="K3" t="s">
        <v>16</v>
      </c>
    </row>
    <row r="4" spans="1:11" x14ac:dyDescent="0.25">
      <c r="A4">
        <v>2012</v>
      </c>
      <c r="B4">
        <v>2024</v>
      </c>
      <c r="C4">
        <v>10</v>
      </c>
      <c r="D4" t="s">
        <v>18</v>
      </c>
      <c r="E4" t="s">
        <v>12</v>
      </c>
      <c r="F4" t="s">
        <v>13</v>
      </c>
      <c r="G4" t="s">
        <v>52</v>
      </c>
      <c r="H4" t="s">
        <v>53</v>
      </c>
      <c r="I4">
        <v>209.4</v>
      </c>
      <c r="J4">
        <v>9.69</v>
      </c>
      <c r="K4" t="s">
        <v>16</v>
      </c>
    </row>
    <row r="5" spans="1:11" x14ac:dyDescent="0.25">
      <c r="A5">
        <v>2012</v>
      </c>
      <c r="B5">
        <v>2024</v>
      </c>
      <c r="C5">
        <v>9</v>
      </c>
      <c r="D5" t="s">
        <v>19</v>
      </c>
      <c r="E5" t="s">
        <v>12</v>
      </c>
      <c r="F5" t="s">
        <v>13</v>
      </c>
      <c r="G5" t="s">
        <v>52</v>
      </c>
      <c r="H5" t="s">
        <v>53</v>
      </c>
      <c r="I5">
        <v>204.8</v>
      </c>
      <c r="J5">
        <v>8.36</v>
      </c>
      <c r="K5" t="s">
        <v>16</v>
      </c>
    </row>
    <row r="6" spans="1:11" x14ac:dyDescent="0.25">
      <c r="A6">
        <v>2012</v>
      </c>
      <c r="B6">
        <v>2024</v>
      </c>
      <c r="C6">
        <v>8</v>
      </c>
      <c r="D6" t="s">
        <v>20</v>
      </c>
      <c r="E6" t="s">
        <v>12</v>
      </c>
      <c r="F6" t="s">
        <v>13</v>
      </c>
      <c r="G6" t="s">
        <v>52</v>
      </c>
      <c r="H6" t="s">
        <v>53</v>
      </c>
      <c r="I6">
        <v>202.7</v>
      </c>
      <c r="J6">
        <v>5.3</v>
      </c>
      <c r="K6" t="s">
        <v>16</v>
      </c>
    </row>
    <row r="7" spans="1:11" x14ac:dyDescent="0.25">
      <c r="A7">
        <v>2012</v>
      </c>
      <c r="B7">
        <v>2024</v>
      </c>
      <c r="C7">
        <v>7</v>
      </c>
      <c r="D7" t="s">
        <v>21</v>
      </c>
      <c r="E7" t="s">
        <v>12</v>
      </c>
      <c r="F7" t="s">
        <v>13</v>
      </c>
      <c r="G7" t="s">
        <v>52</v>
      </c>
      <c r="H7" t="s">
        <v>53</v>
      </c>
      <c r="I7">
        <v>203.3</v>
      </c>
      <c r="J7">
        <v>5.0599999999999996</v>
      </c>
      <c r="K7" t="s">
        <v>16</v>
      </c>
    </row>
    <row r="8" spans="1:11" x14ac:dyDescent="0.25">
      <c r="A8">
        <v>2012</v>
      </c>
      <c r="B8">
        <v>2024</v>
      </c>
      <c r="C8">
        <v>6</v>
      </c>
      <c r="D8" t="s">
        <v>22</v>
      </c>
      <c r="E8" t="s">
        <v>12</v>
      </c>
      <c r="F8" t="s">
        <v>13</v>
      </c>
      <c r="G8" t="s">
        <v>52</v>
      </c>
      <c r="H8" t="s">
        <v>53</v>
      </c>
      <c r="I8">
        <v>198.4</v>
      </c>
      <c r="J8">
        <v>8.36</v>
      </c>
      <c r="K8" t="s">
        <v>16</v>
      </c>
    </row>
    <row r="9" spans="1:11" x14ac:dyDescent="0.25">
      <c r="A9">
        <v>2012</v>
      </c>
      <c r="B9">
        <v>2024</v>
      </c>
      <c r="C9">
        <v>5</v>
      </c>
      <c r="D9" t="s">
        <v>23</v>
      </c>
      <c r="E9" t="s">
        <v>12</v>
      </c>
      <c r="F9" t="s">
        <v>13</v>
      </c>
      <c r="G9" t="s">
        <v>52</v>
      </c>
      <c r="H9" t="s">
        <v>53</v>
      </c>
      <c r="I9">
        <v>193.2</v>
      </c>
      <c r="J9">
        <v>7.87</v>
      </c>
      <c r="K9" t="s">
        <v>16</v>
      </c>
    </row>
    <row r="10" spans="1:11" x14ac:dyDescent="0.25">
      <c r="A10">
        <v>2012</v>
      </c>
      <c r="B10">
        <v>2024</v>
      </c>
      <c r="C10">
        <v>4</v>
      </c>
      <c r="D10" t="s">
        <v>24</v>
      </c>
      <c r="E10" t="s">
        <v>12</v>
      </c>
      <c r="F10" t="s">
        <v>13</v>
      </c>
      <c r="G10" t="s">
        <v>52</v>
      </c>
      <c r="H10" t="s">
        <v>53</v>
      </c>
      <c r="I10">
        <v>191.9</v>
      </c>
      <c r="J10">
        <v>7.87</v>
      </c>
      <c r="K10" t="s">
        <v>16</v>
      </c>
    </row>
    <row r="11" spans="1:11" x14ac:dyDescent="0.25">
      <c r="A11">
        <v>2012</v>
      </c>
      <c r="B11">
        <v>2024</v>
      </c>
      <c r="C11">
        <v>3</v>
      </c>
      <c r="D11" t="s">
        <v>25</v>
      </c>
      <c r="E11" t="s">
        <v>12</v>
      </c>
      <c r="F11" t="s">
        <v>13</v>
      </c>
      <c r="G11" t="s">
        <v>52</v>
      </c>
      <c r="H11" t="s">
        <v>53</v>
      </c>
      <c r="I11">
        <v>190.7</v>
      </c>
      <c r="J11">
        <v>7.74</v>
      </c>
      <c r="K11" t="s">
        <v>16</v>
      </c>
    </row>
    <row r="12" spans="1:11" x14ac:dyDescent="0.25">
      <c r="A12">
        <v>2012</v>
      </c>
      <c r="B12">
        <v>2024</v>
      </c>
      <c r="C12">
        <v>2</v>
      </c>
      <c r="D12" t="s">
        <v>26</v>
      </c>
      <c r="E12" t="s">
        <v>12</v>
      </c>
      <c r="F12" t="s">
        <v>13</v>
      </c>
      <c r="G12" t="s">
        <v>52</v>
      </c>
      <c r="H12" t="s">
        <v>53</v>
      </c>
      <c r="I12">
        <v>190.3</v>
      </c>
      <c r="J12">
        <v>7.76</v>
      </c>
      <c r="K12" t="s">
        <v>16</v>
      </c>
    </row>
    <row r="13" spans="1:11" x14ac:dyDescent="0.25">
      <c r="A13">
        <v>2012</v>
      </c>
      <c r="B13">
        <v>2024</v>
      </c>
      <c r="C13">
        <v>1</v>
      </c>
      <c r="D13" t="s">
        <v>27</v>
      </c>
      <c r="E13" t="s">
        <v>12</v>
      </c>
      <c r="F13" t="s">
        <v>13</v>
      </c>
      <c r="G13" t="s">
        <v>52</v>
      </c>
      <c r="H13" t="s">
        <v>53</v>
      </c>
      <c r="I13">
        <v>190.1</v>
      </c>
      <c r="J13">
        <v>7.58</v>
      </c>
      <c r="K13" t="s">
        <v>16</v>
      </c>
    </row>
    <row r="14" spans="1:11" x14ac:dyDescent="0.25">
      <c r="A14">
        <v>2012</v>
      </c>
      <c r="B14">
        <v>2023</v>
      </c>
      <c r="C14">
        <v>12</v>
      </c>
      <c r="D14" t="s">
        <v>11</v>
      </c>
      <c r="E14" t="s">
        <v>12</v>
      </c>
      <c r="F14" t="s">
        <v>13</v>
      </c>
      <c r="G14" t="s">
        <v>52</v>
      </c>
      <c r="H14" t="s">
        <v>53</v>
      </c>
      <c r="I14">
        <v>191.2</v>
      </c>
      <c r="J14">
        <v>8.6999999999999993</v>
      </c>
      <c r="K14" t="s">
        <v>16</v>
      </c>
    </row>
    <row r="15" spans="1:11" x14ac:dyDescent="0.25">
      <c r="A15">
        <v>2012</v>
      </c>
      <c r="B15">
        <v>2023</v>
      </c>
      <c r="C15">
        <v>11</v>
      </c>
      <c r="D15" t="s">
        <v>17</v>
      </c>
      <c r="E15" t="s">
        <v>12</v>
      </c>
      <c r="F15" t="s">
        <v>13</v>
      </c>
      <c r="G15" t="s">
        <v>52</v>
      </c>
      <c r="H15" t="s">
        <v>53</v>
      </c>
      <c r="I15">
        <v>192.6</v>
      </c>
      <c r="J15">
        <v>8.02</v>
      </c>
      <c r="K15" t="s">
        <v>16</v>
      </c>
    </row>
    <row r="16" spans="1:11" x14ac:dyDescent="0.25">
      <c r="A16">
        <v>2012</v>
      </c>
      <c r="B16">
        <v>2023</v>
      </c>
      <c r="C16">
        <v>10</v>
      </c>
      <c r="D16" t="s">
        <v>18</v>
      </c>
      <c r="E16" t="s">
        <v>12</v>
      </c>
      <c r="F16" t="s">
        <v>13</v>
      </c>
      <c r="G16" t="s">
        <v>52</v>
      </c>
      <c r="H16" t="s">
        <v>53</v>
      </c>
      <c r="I16">
        <v>190.9</v>
      </c>
      <c r="J16">
        <v>6.29</v>
      </c>
      <c r="K16" t="s">
        <v>16</v>
      </c>
    </row>
    <row r="17" spans="1:11" x14ac:dyDescent="0.25">
      <c r="A17">
        <v>2012</v>
      </c>
      <c r="B17">
        <v>2023</v>
      </c>
      <c r="C17">
        <v>9</v>
      </c>
      <c r="D17" t="s">
        <v>19</v>
      </c>
      <c r="E17" t="s">
        <v>12</v>
      </c>
      <c r="F17" t="s">
        <v>13</v>
      </c>
      <c r="G17" t="s">
        <v>52</v>
      </c>
      <c r="H17" t="s">
        <v>53</v>
      </c>
      <c r="I17">
        <v>189</v>
      </c>
      <c r="J17">
        <v>6.3</v>
      </c>
      <c r="K17" t="s">
        <v>16</v>
      </c>
    </row>
    <row r="18" spans="1:11" x14ac:dyDescent="0.25">
      <c r="A18">
        <v>2012</v>
      </c>
      <c r="B18">
        <v>2023</v>
      </c>
      <c r="C18">
        <v>8</v>
      </c>
      <c r="D18" t="s">
        <v>20</v>
      </c>
      <c r="E18" t="s">
        <v>12</v>
      </c>
      <c r="F18" t="s">
        <v>13</v>
      </c>
      <c r="G18" t="s">
        <v>52</v>
      </c>
      <c r="H18" t="s">
        <v>53</v>
      </c>
      <c r="I18">
        <v>192.5</v>
      </c>
      <c r="J18">
        <v>9.19</v>
      </c>
      <c r="K18" t="s">
        <v>16</v>
      </c>
    </row>
    <row r="19" spans="1:11" x14ac:dyDescent="0.25">
      <c r="A19">
        <v>2012</v>
      </c>
      <c r="B19">
        <v>2023</v>
      </c>
      <c r="C19">
        <v>7</v>
      </c>
      <c r="D19" t="s">
        <v>21</v>
      </c>
      <c r="E19" t="s">
        <v>12</v>
      </c>
      <c r="F19" t="s">
        <v>13</v>
      </c>
      <c r="G19" t="s">
        <v>52</v>
      </c>
      <c r="H19" t="s">
        <v>53</v>
      </c>
      <c r="I19">
        <v>193.5</v>
      </c>
      <c r="J19">
        <v>10.57</v>
      </c>
      <c r="K19" t="s">
        <v>16</v>
      </c>
    </row>
    <row r="20" spans="1:11" x14ac:dyDescent="0.25">
      <c r="A20">
        <v>2012</v>
      </c>
      <c r="B20">
        <v>2023</v>
      </c>
      <c r="C20">
        <v>6</v>
      </c>
      <c r="D20" t="s">
        <v>22</v>
      </c>
      <c r="E20" t="s">
        <v>12</v>
      </c>
      <c r="F20" t="s">
        <v>13</v>
      </c>
      <c r="G20" t="s">
        <v>52</v>
      </c>
      <c r="H20" t="s">
        <v>53</v>
      </c>
      <c r="I20">
        <v>183.1</v>
      </c>
      <c r="J20">
        <v>4.6900000000000004</v>
      </c>
      <c r="K20" t="s">
        <v>16</v>
      </c>
    </row>
    <row r="21" spans="1:11" x14ac:dyDescent="0.25">
      <c r="A21">
        <v>2012</v>
      </c>
      <c r="B21">
        <v>2023</v>
      </c>
      <c r="C21">
        <v>5</v>
      </c>
      <c r="D21" t="s">
        <v>23</v>
      </c>
      <c r="E21" t="s">
        <v>12</v>
      </c>
      <c r="F21" t="s">
        <v>13</v>
      </c>
      <c r="G21" t="s">
        <v>52</v>
      </c>
      <c r="H21" t="s">
        <v>53</v>
      </c>
      <c r="I21">
        <v>179.1</v>
      </c>
      <c r="J21">
        <v>3.35</v>
      </c>
      <c r="K21" t="s">
        <v>16</v>
      </c>
    </row>
    <row r="22" spans="1:11" x14ac:dyDescent="0.25">
      <c r="A22">
        <v>2012</v>
      </c>
      <c r="B22">
        <v>2023</v>
      </c>
      <c r="C22">
        <v>4</v>
      </c>
      <c r="D22" t="s">
        <v>24</v>
      </c>
      <c r="E22" t="s">
        <v>12</v>
      </c>
      <c r="F22" t="s">
        <v>13</v>
      </c>
      <c r="G22" t="s">
        <v>52</v>
      </c>
      <c r="H22" t="s">
        <v>53</v>
      </c>
      <c r="I22">
        <v>177.9</v>
      </c>
      <c r="J22">
        <v>4.16</v>
      </c>
      <c r="K22" t="s">
        <v>16</v>
      </c>
    </row>
    <row r="23" spans="1:11" x14ac:dyDescent="0.25">
      <c r="A23">
        <v>2012</v>
      </c>
      <c r="B23">
        <v>2023</v>
      </c>
      <c r="C23">
        <v>3</v>
      </c>
      <c r="D23" t="s">
        <v>25</v>
      </c>
      <c r="E23" t="s">
        <v>12</v>
      </c>
      <c r="F23" t="s">
        <v>13</v>
      </c>
      <c r="G23" t="s">
        <v>52</v>
      </c>
      <c r="H23" t="s">
        <v>53</v>
      </c>
      <c r="I23">
        <v>177</v>
      </c>
      <c r="J23">
        <v>5.1100000000000003</v>
      </c>
      <c r="K23" t="s">
        <v>16</v>
      </c>
    </row>
    <row r="24" spans="1:11" x14ac:dyDescent="0.25">
      <c r="A24">
        <v>2012</v>
      </c>
      <c r="B24">
        <v>2023</v>
      </c>
      <c r="C24">
        <v>2</v>
      </c>
      <c r="D24" t="s">
        <v>26</v>
      </c>
      <c r="E24" t="s">
        <v>12</v>
      </c>
      <c r="F24" t="s">
        <v>13</v>
      </c>
      <c r="G24" t="s">
        <v>52</v>
      </c>
      <c r="H24" t="s">
        <v>53</v>
      </c>
      <c r="I24">
        <v>176.6</v>
      </c>
      <c r="J24">
        <v>6.26</v>
      </c>
      <c r="K24" t="s">
        <v>16</v>
      </c>
    </row>
    <row r="25" spans="1:11" x14ac:dyDescent="0.25">
      <c r="A25">
        <v>2012</v>
      </c>
      <c r="B25">
        <v>2023</v>
      </c>
      <c r="C25">
        <v>1</v>
      </c>
      <c r="D25" t="s">
        <v>27</v>
      </c>
      <c r="E25" t="s">
        <v>12</v>
      </c>
      <c r="F25" t="s">
        <v>13</v>
      </c>
      <c r="G25" t="s">
        <v>52</v>
      </c>
      <c r="H25" t="s">
        <v>53</v>
      </c>
      <c r="I25">
        <v>176.7</v>
      </c>
      <c r="J25">
        <v>6.19</v>
      </c>
      <c r="K25" t="s">
        <v>16</v>
      </c>
    </row>
    <row r="26" spans="1:11" x14ac:dyDescent="0.25">
      <c r="A26">
        <v>2012</v>
      </c>
      <c r="B26">
        <v>2022</v>
      </c>
      <c r="C26">
        <v>12</v>
      </c>
      <c r="D26" t="s">
        <v>11</v>
      </c>
      <c r="E26" t="s">
        <v>12</v>
      </c>
      <c r="F26" t="s">
        <v>13</v>
      </c>
      <c r="G26" t="s">
        <v>52</v>
      </c>
      <c r="H26" t="s">
        <v>53</v>
      </c>
      <c r="I26">
        <v>175.9</v>
      </c>
      <c r="J26">
        <v>4.58</v>
      </c>
      <c r="K26" t="s">
        <v>16</v>
      </c>
    </row>
    <row r="27" spans="1:11" x14ac:dyDescent="0.25">
      <c r="A27">
        <v>2012</v>
      </c>
      <c r="B27">
        <v>2022</v>
      </c>
      <c r="C27">
        <v>11</v>
      </c>
      <c r="D27" t="s">
        <v>17</v>
      </c>
      <c r="E27" t="s">
        <v>12</v>
      </c>
      <c r="F27" t="s">
        <v>13</v>
      </c>
      <c r="G27" t="s">
        <v>52</v>
      </c>
      <c r="H27" t="s">
        <v>53</v>
      </c>
      <c r="I27">
        <v>178.3</v>
      </c>
      <c r="J27">
        <v>5.07</v>
      </c>
      <c r="K27" t="s">
        <v>16</v>
      </c>
    </row>
    <row r="28" spans="1:11" x14ac:dyDescent="0.25">
      <c r="A28">
        <v>2012</v>
      </c>
      <c r="B28">
        <v>2022</v>
      </c>
      <c r="C28">
        <v>10</v>
      </c>
      <c r="D28" t="s">
        <v>18</v>
      </c>
      <c r="E28" t="s">
        <v>12</v>
      </c>
      <c r="F28" t="s">
        <v>13</v>
      </c>
      <c r="G28" t="s">
        <v>52</v>
      </c>
      <c r="H28" t="s">
        <v>53</v>
      </c>
      <c r="I28">
        <v>179.6</v>
      </c>
      <c r="J28">
        <v>7.1</v>
      </c>
      <c r="K28" t="s">
        <v>16</v>
      </c>
    </row>
    <row r="29" spans="1:11" x14ac:dyDescent="0.25">
      <c r="A29">
        <v>2012</v>
      </c>
      <c r="B29">
        <v>2022</v>
      </c>
      <c r="C29">
        <v>9</v>
      </c>
      <c r="D29" t="s">
        <v>19</v>
      </c>
      <c r="E29" t="s">
        <v>12</v>
      </c>
      <c r="F29" t="s">
        <v>13</v>
      </c>
      <c r="G29" t="s">
        <v>52</v>
      </c>
      <c r="H29" t="s">
        <v>53</v>
      </c>
      <c r="I29">
        <v>177.8</v>
      </c>
      <c r="J29">
        <v>8.41</v>
      </c>
      <c r="K29" t="s">
        <v>16</v>
      </c>
    </row>
    <row r="30" spans="1:11" x14ac:dyDescent="0.25">
      <c r="A30">
        <v>2012</v>
      </c>
      <c r="B30">
        <v>2022</v>
      </c>
      <c r="C30">
        <v>8</v>
      </c>
      <c r="D30" t="s">
        <v>20</v>
      </c>
      <c r="E30" t="s">
        <v>12</v>
      </c>
      <c r="F30" t="s">
        <v>13</v>
      </c>
      <c r="G30" t="s">
        <v>52</v>
      </c>
      <c r="H30" t="s">
        <v>53</v>
      </c>
      <c r="I30">
        <v>176.3</v>
      </c>
      <c r="J30">
        <v>7.57</v>
      </c>
      <c r="K30" t="s">
        <v>16</v>
      </c>
    </row>
    <row r="31" spans="1:11" x14ac:dyDescent="0.25">
      <c r="A31">
        <v>2012</v>
      </c>
      <c r="B31">
        <v>2022</v>
      </c>
      <c r="C31">
        <v>7</v>
      </c>
      <c r="D31" t="s">
        <v>21</v>
      </c>
      <c r="E31" t="s">
        <v>12</v>
      </c>
      <c r="F31" t="s">
        <v>13</v>
      </c>
      <c r="G31" t="s">
        <v>52</v>
      </c>
      <c r="H31" t="s">
        <v>53</v>
      </c>
      <c r="I31">
        <v>175</v>
      </c>
      <c r="J31">
        <v>6.71</v>
      </c>
      <c r="K31" t="s">
        <v>16</v>
      </c>
    </row>
    <row r="32" spans="1:11" x14ac:dyDescent="0.25">
      <c r="A32">
        <v>2012</v>
      </c>
      <c r="B32">
        <v>2022</v>
      </c>
      <c r="C32">
        <v>6</v>
      </c>
      <c r="D32" t="s">
        <v>22</v>
      </c>
      <c r="E32" t="s">
        <v>12</v>
      </c>
      <c r="F32" t="s">
        <v>13</v>
      </c>
      <c r="G32" t="s">
        <v>52</v>
      </c>
      <c r="H32" t="s">
        <v>53</v>
      </c>
      <c r="I32">
        <v>174.9</v>
      </c>
      <c r="J32">
        <v>7.56</v>
      </c>
      <c r="K32" t="s">
        <v>16</v>
      </c>
    </row>
    <row r="33" spans="1:11" x14ac:dyDescent="0.25">
      <c r="A33">
        <v>2012</v>
      </c>
      <c r="B33">
        <v>2022</v>
      </c>
      <c r="C33">
        <v>5</v>
      </c>
      <c r="D33" t="s">
        <v>23</v>
      </c>
      <c r="E33" t="s">
        <v>12</v>
      </c>
      <c r="F33" t="s">
        <v>13</v>
      </c>
      <c r="G33" t="s">
        <v>52</v>
      </c>
      <c r="H33" t="s">
        <v>53</v>
      </c>
      <c r="I33">
        <v>173.3</v>
      </c>
      <c r="J33">
        <v>7.84</v>
      </c>
      <c r="K33" t="s">
        <v>16</v>
      </c>
    </row>
    <row r="34" spans="1:11" x14ac:dyDescent="0.25">
      <c r="A34">
        <v>2012</v>
      </c>
      <c r="B34">
        <v>2022</v>
      </c>
      <c r="C34">
        <v>4</v>
      </c>
      <c r="D34" t="s">
        <v>24</v>
      </c>
      <c r="E34" t="s">
        <v>12</v>
      </c>
      <c r="F34" t="s">
        <v>13</v>
      </c>
      <c r="G34" t="s">
        <v>52</v>
      </c>
      <c r="H34" t="s">
        <v>53</v>
      </c>
      <c r="I34">
        <v>170.8</v>
      </c>
      <c r="J34">
        <v>8.1</v>
      </c>
      <c r="K34" t="s">
        <v>16</v>
      </c>
    </row>
    <row r="35" spans="1:11" x14ac:dyDescent="0.25">
      <c r="A35">
        <v>2012</v>
      </c>
      <c r="B35">
        <v>2022</v>
      </c>
      <c r="C35">
        <v>3</v>
      </c>
      <c r="D35" t="s">
        <v>25</v>
      </c>
      <c r="E35" t="s">
        <v>12</v>
      </c>
      <c r="F35" t="s">
        <v>13</v>
      </c>
      <c r="G35" t="s">
        <v>52</v>
      </c>
      <c r="H35" t="s">
        <v>53</v>
      </c>
      <c r="I35">
        <v>168.4</v>
      </c>
      <c r="J35">
        <v>7.47</v>
      </c>
      <c r="K35" t="s">
        <v>16</v>
      </c>
    </row>
    <row r="36" spans="1:11" x14ac:dyDescent="0.25">
      <c r="A36">
        <v>2012</v>
      </c>
      <c r="B36">
        <v>2022</v>
      </c>
      <c r="C36">
        <v>2</v>
      </c>
      <c r="D36" t="s">
        <v>26</v>
      </c>
      <c r="E36" t="s">
        <v>12</v>
      </c>
      <c r="F36" t="s">
        <v>13</v>
      </c>
      <c r="G36" t="s">
        <v>52</v>
      </c>
      <c r="H36" t="s">
        <v>53</v>
      </c>
      <c r="I36">
        <v>166.2</v>
      </c>
      <c r="J36">
        <v>5.93</v>
      </c>
      <c r="K36" t="s">
        <v>16</v>
      </c>
    </row>
    <row r="37" spans="1:11" x14ac:dyDescent="0.25">
      <c r="A37">
        <v>2012</v>
      </c>
      <c r="B37">
        <v>2022</v>
      </c>
      <c r="C37">
        <v>1</v>
      </c>
      <c r="D37" t="s">
        <v>27</v>
      </c>
      <c r="E37" t="s">
        <v>12</v>
      </c>
      <c r="F37" t="s">
        <v>13</v>
      </c>
      <c r="G37" t="s">
        <v>52</v>
      </c>
      <c r="H37" t="s">
        <v>53</v>
      </c>
      <c r="I37">
        <v>166.4</v>
      </c>
      <c r="J37">
        <v>5.58</v>
      </c>
      <c r="K37" t="s">
        <v>16</v>
      </c>
    </row>
    <row r="38" spans="1:11" x14ac:dyDescent="0.25">
      <c r="A38">
        <v>2012</v>
      </c>
      <c r="B38">
        <v>2021</v>
      </c>
      <c r="C38">
        <v>12</v>
      </c>
      <c r="D38" t="s">
        <v>11</v>
      </c>
      <c r="E38" t="s">
        <v>12</v>
      </c>
      <c r="F38" t="s">
        <v>13</v>
      </c>
      <c r="G38" t="s">
        <v>52</v>
      </c>
      <c r="H38" t="s">
        <v>53</v>
      </c>
      <c r="I38">
        <v>168.2</v>
      </c>
      <c r="J38">
        <v>4.47</v>
      </c>
      <c r="K38" t="s">
        <v>16</v>
      </c>
    </row>
    <row r="39" spans="1:11" x14ac:dyDescent="0.25">
      <c r="A39">
        <v>2012</v>
      </c>
      <c r="B39">
        <v>2021</v>
      </c>
      <c r="C39">
        <v>11</v>
      </c>
      <c r="D39" t="s">
        <v>17</v>
      </c>
      <c r="E39" t="s">
        <v>12</v>
      </c>
      <c r="F39" t="s">
        <v>13</v>
      </c>
      <c r="G39" t="s">
        <v>52</v>
      </c>
      <c r="H39" t="s">
        <v>53</v>
      </c>
      <c r="I39">
        <v>169.7</v>
      </c>
      <c r="J39">
        <v>2.6</v>
      </c>
      <c r="K39" t="s">
        <v>16</v>
      </c>
    </row>
    <row r="40" spans="1:11" x14ac:dyDescent="0.25">
      <c r="A40">
        <v>2012</v>
      </c>
      <c r="B40">
        <v>2021</v>
      </c>
      <c r="C40">
        <v>10</v>
      </c>
      <c r="D40" t="s">
        <v>18</v>
      </c>
      <c r="E40" t="s">
        <v>12</v>
      </c>
      <c r="F40" t="s">
        <v>13</v>
      </c>
      <c r="G40" t="s">
        <v>52</v>
      </c>
      <c r="H40" t="s">
        <v>53</v>
      </c>
      <c r="I40">
        <v>167.7</v>
      </c>
      <c r="J40">
        <v>1.82</v>
      </c>
      <c r="K40" t="s">
        <v>16</v>
      </c>
    </row>
    <row r="41" spans="1:11" x14ac:dyDescent="0.25">
      <c r="A41">
        <v>2012</v>
      </c>
      <c r="B41">
        <v>2021</v>
      </c>
      <c r="C41">
        <v>9</v>
      </c>
      <c r="D41" t="s">
        <v>19</v>
      </c>
      <c r="E41" t="s">
        <v>12</v>
      </c>
      <c r="F41" t="s">
        <v>13</v>
      </c>
      <c r="G41" t="s">
        <v>52</v>
      </c>
      <c r="H41" t="s">
        <v>53</v>
      </c>
      <c r="I41">
        <v>164</v>
      </c>
      <c r="J41">
        <v>1.61</v>
      </c>
      <c r="K41" t="s">
        <v>16</v>
      </c>
    </row>
    <row r="42" spans="1:11" x14ac:dyDescent="0.25">
      <c r="A42">
        <v>2012</v>
      </c>
      <c r="B42">
        <v>2021</v>
      </c>
      <c r="C42">
        <v>8</v>
      </c>
      <c r="D42" t="s">
        <v>20</v>
      </c>
      <c r="E42" t="s">
        <v>12</v>
      </c>
      <c r="F42" t="s">
        <v>13</v>
      </c>
      <c r="G42" t="s">
        <v>52</v>
      </c>
      <c r="H42" t="s">
        <v>53</v>
      </c>
      <c r="I42">
        <v>163.9</v>
      </c>
      <c r="J42">
        <v>3.73</v>
      </c>
      <c r="K42" t="s">
        <v>16</v>
      </c>
    </row>
    <row r="43" spans="1:11" x14ac:dyDescent="0.25">
      <c r="A43">
        <v>2012</v>
      </c>
      <c r="B43">
        <v>2021</v>
      </c>
      <c r="C43">
        <v>7</v>
      </c>
      <c r="D43" t="s">
        <v>21</v>
      </c>
      <c r="E43" t="s">
        <v>12</v>
      </c>
      <c r="F43" t="s">
        <v>13</v>
      </c>
      <c r="G43" t="s">
        <v>52</v>
      </c>
      <c r="H43" t="s">
        <v>53</v>
      </c>
      <c r="I43">
        <v>164</v>
      </c>
      <c r="J43">
        <v>4.46</v>
      </c>
      <c r="K43" t="s">
        <v>16</v>
      </c>
    </row>
    <row r="44" spans="1:11" x14ac:dyDescent="0.25">
      <c r="A44">
        <v>2012</v>
      </c>
      <c r="B44">
        <v>2021</v>
      </c>
      <c r="C44">
        <v>6</v>
      </c>
      <c r="D44" t="s">
        <v>22</v>
      </c>
      <c r="E44" t="s">
        <v>12</v>
      </c>
      <c r="F44" t="s">
        <v>13</v>
      </c>
      <c r="G44" t="s">
        <v>52</v>
      </c>
      <c r="H44" t="s">
        <v>53</v>
      </c>
      <c r="I44">
        <v>162.6</v>
      </c>
      <c r="J44">
        <v>5.58</v>
      </c>
      <c r="K44" t="s">
        <v>16</v>
      </c>
    </row>
    <row r="45" spans="1:11" x14ac:dyDescent="0.25">
      <c r="A45">
        <v>2012</v>
      </c>
      <c r="B45">
        <v>2021</v>
      </c>
      <c r="C45">
        <v>5</v>
      </c>
      <c r="D45" t="s">
        <v>23</v>
      </c>
      <c r="E45" t="s">
        <v>12</v>
      </c>
      <c r="F45" t="s">
        <v>13</v>
      </c>
      <c r="G45" t="s">
        <v>52</v>
      </c>
      <c r="H45" t="s">
        <v>53</v>
      </c>
      <c r="I45">
        <v>160.69999999999999</v>
      </c>
      <c r="J45">
        <v>5.24</v>
      </c>
      <c r="K45" t="s">
        <v>16</v>
      </c>
    </row>
    <row r="46" spans="1:11" x14ac:dyDescent="0.25">
      <c r="A46">
        <v>2012</v>
      </c>
      <c r="B46">
        <v>2021</v>
      </c>
      <c r="C46">
        <v>4</v>
      </c>
      <c r="D46" t="s">
        <v>24</v>
      </c>
      <c r="E46" t="s">
        <v>12</v>
      </c>
      <c r="F46" t="s">
        <v>13</v>
      </c>
      <c r="G46" t="s">
        <v>52</v>
      </c>
      <c r="H46" t="s">
        <v>53</v>
      </c>
      <c r="I46">
        <v>158</v>
      </c>
      <c r="J46">
        <v>2.6</v>
      </c>
      <c r="K46" t="s">
        <v>16</v>
      </c>
    </row>
    <row r="47" spans="1:11" x14ac:dyDescent="0.25">
      <c r="A47">
        <v>2012</v>
      </c>
      <c r="B47">
        <v>2021</v>
      </c>
      <c r="C47">
        <v>3</v>
      </c>
      <c r="D47" t="s">
        <v>25</v>
      </c>
      <c r="E47" t="s">
        <v>12</v>
      </c>
      <c r="F47" t="s">
        <v>13</v>
      </c>
      <c r="G47" t="s">
        <v>52</v>
      </c>
      <c r="H47" t="s">
        <v>53</v>
      </c>
      <c r="I47">
        <v>156.69999999999999</v>
      </c>
      <c r="J47">
        <v>5.24</v>
      </c>
      <c r="K47" t="s">
        <v>16</v>
      </c>
    </row>
    <row r="48" spans="1:11" x14ac:dyDescent="0.25">
      <c r="A48">
        <v>2012</v>
      </c>
      <c r="B48">
        <v>2021</v>
      </c>
      <c r="C48">
        <v>2</v>
      </c>
      <c r="D48" t="s">
        <v>26</v>
      </c>
      <c r="E48" t="s">
        <v>12</v>
      </c>
      <c r="F48" t="s">
        <v>13</v>
      </c>
      <c r="G48" t="s">
        <v>52</v>
      </c>
      <c r="H48" t="s">
        <v>53</v>
      </c>
      <c r="I48">
        <v>156.9</v>
      </c>
      <c r="J48">
        <v>4.25</v>
      </c>
      <c r="K48" t="s">
        <v>16</v>
      </c>
    </row>
    <row r="49" spans="1:11" x14ac:dyDescent="0.25">
      <c r="A49">
        <v>2012</v>
      </c>
      <c r="B49">
        <v>2021</v>
      </c>
      <c r="C49">
        <v>1</v>
      </c>
      <c r="D49" t="s">
        <v>27</v>
      </c>
      <c r="E49" t="s">
        <v>12</v>
      </c>
      <c r="F49" t="s">
        <v>13</v>
      </c>
      <c r="G49" t="s">
        <v>52</v>
      </c>
      <c r="H49" t="s">
        <v>53</v>
      </c>
      <c r="I49">
        <v>157.6</v>
      </c>
      <c r="J49">
        <v>2.67</v>
      </c>
      <c r="K49" t="s">
        <v>16</v>
      </c>
    </row>
    <row r="50" spans="1:11" x14ac:dyDescent="0.25">
      <c r="A50">
        <v>2012</v>
      </c>
      <c r="B50">
        <v>2020</v>
      </c>
      <c r="C50">
        <v>12</v>
      </c>
      <c r="D50" t="s">
        <v>11</v>
      </c>
      <c r="E50" t="s">
        <v>12</v>
      </c>
      <c r="F50" t="s">
        <v>13</v>
      </c>
      <c r="G50" t="s">
        <v>52</v>
      </c>
      <c r="H50" t="s">
        <v>53</v>
      </c>
      <c r="I50">
        <v>161</v>
      </c>
      <c r="J50">
        <v>3.87</v>
      </c>
      <c r="K50" t="s">
        <v>16</v>
      </c>
    </row>
    <row r="51" spans="1:11" x14ac:dyDescent="0.25">
      <c r="A51">
        <v>2012</v>
      </c>
      <c r="B51">
        <v>2020</v>
      </c>
      <c r="C51">
        <v>11</v>
      </c>
      <c r="D51" t="s">
        <v>17</v>
      </c>
      <c r="E51" t="s">
        <v>12</v>
      </c>
      <c r="F51" t="s">
        <v>13</v>
      </c>
      <c r="G51" t="s">
        <v>52</v>
      </c>
      <c r="H51" t="s">
        <v>53</v>
      </c>
      <c r="I51">
        <v>165.4</v>
      </c>
      <c r="J51">
        <v>8.89</v>
      </c>
      <c r="K51" t="s">
        <v>16</v>
      </c>
    </row>
    <row r="52" spans="1:11" x14ac:dyDescent="0.25">
      <c r="A52">
        <v>2012</v>
      </c>
      <c r="B52">
        <v>2020</v>
      </c>
      <c r="C52">
        <v>10</v>
      </c>
      <c r="D52" t="s">
        <v>18</v>
      </c>
      <c r="E52" t="s">
        <v>12</v>
      </c>
      <c r="F52" t="s">
        <v>13</v>
      </c>
      <c r="G52" t="s">
        <v>52</v>
      </c>
      <c r="H52" t="s">
        <v>53</v>
      </c>
      <c r="I52">
        <v>164.7</v>
      </c>
      <c r="J52">
        <v>10.09</v>
      </c>
      <c r="K52" t="s">
        <v>16</v>
      </c>
    </row>
    <row r="53" spans="1:11" x14ac:dyDescent="0.25">
      <c r="A53">
        <v>2012</v>
      </c>
      <c r="B53">
        <v>2020</v>
      </c>
      <c r="C53">
        <v>9</v>
      </c>
      <c r="D53" t="s">
        <v>19</v>
      </c>
      <c r="E53" t="s">
        <v>12</v>
      </c>
      <c r="F53" t="s">
        <v>13</v>
      </c>
      <c r="G53" t="s">
        <v>52</v>
      </c>
      <c r="H53" t="s">
        <v>53</v>
      </c>
      <c r="I53">
        <v>161.4</v>
      </c>
      <c r="J53">
        <v>9.8000000000000007</v>
      </c>
      <c r="K53" t="s">
        <v>16</v>
      </c>
    </row>
    <row r="54" spans="1:11" x14ac:dyDescent="0.25">
      <c r="A54">
        <v>2012</v>
      </c>
      <c r="B54">
        <v>2020</v>
      </c>
      <c r="C54">
        <v>8</v>
      </c>
      <c r="D54" t="s">
        <v>20</v>
      </c>
      <c r="E54" t="s">
        <v>12</v>
      </c>
      <c r="F54" t="s">
        <v>13</v>
      </c>
      <c r="G54" t="s">
        <v>52</v>
      </c>
      <c r="H54" t="s">
        <v>53</v>
      </c>
      <c r="I54">
        <v>158</v>
      </c>
      <c r="J54">
        <v>8.2899999999999991</v>
      </c>
      <c r="K54" t="s">
        <v>16</v>
      </c>
    </row>
    <row r="55" spans="1:11" x14ac:dyDescent="0.25">
      <c r="A55">
        <v>2012</v>
      </c>
      <c r="B55">
        <v>2020</v>
      </c>
      <c r="C55">
        <v>7</v>
      </c>
      <c r="D55" t="s">
        <v>21</v>
      </c>
      <c r="E55" t="s">
        <v>12</v>
      </c>
      <c r="F55" t="s">
        <v>13</v>
      </c>
      <c r="G55" t="s">
        <v>52</v>
      </c>
      <c r="H55" t="s">
        <v>53</v>
      </c>
      <c r="I55">
        <v>157</v>
      </c>
      <c r="J55">
        <v>8.5</v>
      </c>
      <c r="K55" t="s">
        <v>16</v>
      </c>
    </row>
    <row r="56" spans="1:11" x14ac:dyDescent="0.25">
      <c r="A56">
        <v>2012</v>
      </c>
      <c r="B56">
        <v>2020</v>
      </c>
      <c r="C56">
        <v>6</v>
      </c>
      <c r="D56" t="s">
        <v>22</v>
      </c>
      <c r="E56" t="s">
        <v>12</v>
      </c>
      <c r="F56" t="s">
        <v>13</v>
      </c>
      <c r="G56" t="s">
        <v>52</v>
      </c>
      <c r="H56" t="s">
        <v>53</v>
      </c>
      <c r="I56">
        <v>154</v>
      </c>
      <c r="J56">
        <v>7.92</v>
      </c>
      <c r="K56" t="s">
        <v>16</v>
      </c>
    </row>
    <row r="57" spans="1:11" x14ac:dyDescent="0.25">
      <c r="A57">
        <v>2012</v>
      </c>
      <c r="B57">
        <v>2020</v>
      </c>
      <c r="C57">
        <v>5</v>
      </c>
      <c r="D57" t="s">
        <v>23</v>
      </c>
      <c r="E57" t="s">
        <v>12</v>
      </c>
      <c r="F57" t="s">
        <v>13</v>
      </c>
      <c r="G57" t="s">
        <v>52</v>
      </c>
      <c r="H57" t="s">
        <v>53</v>
      </c>
      <c r="I57">
        <v>152.69999999999999</v>
      </c>
      <c r="K57" t="s">
        <v>28</v>
      </c>
    </row>
    <row r="58" spans="1:11" x14ac:dyDescent="0.25">
      <c r="A58">
        <v>2012</v>
      </c>
      <c r="B58">
        <v>2020</v>
      </c>
      <c r="C58">
        <v>4</v>
      </c>
      <c r="D58" t="s">
        <v>24</v>
      </c>
      <c r="E58" t="s">
        <v>12</v>
      </c>
      <c r="F58" t="s">
        <v>13</v>
      </c>
      <c r="G58" t="s">
        <v>52</v>
      </c>
      <c r="H58" t="s">
        <v>53</v>
      </c>
      <c r="I58">
        <v>154</v>
      </c>
      <c r="K58" t="s">
        <v>28</v>
      </c>
    </row>
    <row r="59" spans="1:11" x14ac:dyDescent="0.25">
      <c r="A59">
        <v>2012</v>
      </c>
      <c r="B59">
        <v>2020</v>
      </c>
      <c r="C59">
        <v>3</v>
      </c>
      <c r="D59" t="s">
        <v>25</v>
      </c>
      <c r="E59" t="s">
        <v>12</v>
      </c>
      <c r="F59" t="s">
        <v>13</v>
      </c>
      <c r="G59" t="s">
        <v>52</v>
      </c>
      <c r="H59" t="s">
        <v>53</v>
      </c>
      <c r="I59">
        <v>148.9</v>
      </c>
      <c r="J59">
        <v>7.82</v>
      </c>
      <c r="K59" t="s">
        <v>16</v>
      </c>
    </row>
    <row r="60" spans="1:11" x14ac:dyDescent="0.25">
      <c r="A60">
        <v>2012</v>
      </c>
      <c r="B60">
        <v>2020</v>
      </c>
      <c r="C60">
        <v>2</v>
      </c>
      <c r="D60" t="s">
        <v>26</v>
      </c>
      <c r="E60" t="s">
        <v>12</v>
      </c>
      <c r="F60" t="s">
        <v>13</v>
      </c>
      <c r="G60" t="s">
        <v>52</v>
      </c>
      <c r="H60" t="s">
        <v>53</v>
      </c>
      <c r="I60">
        <v>150.5</v>
      </c>
      <c r="J60">
        <v>9.4499999999999993</v>
      </c>
      <c r="K60" t="s">
        <v>16</v>
      </c>
    </row>
    <row r="61" spans="1:11" x14ac:dyDescent="0.25">
      <c r="A61">
        <v>2012</v>
      </c>
      <c r="B61">
        <v>2020</v>
      </c>
      <c r="C61">
        <v>1</v>
      </c>
      <c r="D61" t="s">
        <v>27</v>
      </c>
      <c r="E61" t="s">
        <v>12</v>
      </c>
      <c r="F61" t="s">
        <v>13</v>
      </c>
      <c r="G61" t="s">
        <v>52</v>
      </c>
      <c r="H61" t="s">
        <v>53</v>
      </c>
      <c r="I61">
        <v>153.5</v>
      </c>
      <c r="J61">
        <v>11.72</v>
      </c>
      <c r="K61" t="s">
        <v>16</v>
      </c>
    </row>
    <row r="62" spans="1:11" x14ac:dyDescent="0.25">
      <c r="A62">
        <v>2012</v>
      </c>
      <c r="B62">
        <v>2019</v>
      </c>
      <c r="C62">
        <v>12</v>
      </c>
      <c r="D62" t="s">
        <v>11</v>
      </c>
      <c r="E62" t="s">
        <v>12</v>
      </c>
      <c r="F62" t="s">
        <v>13</v>
      </c>
      <c r="G62" t="s">
        <v>52</v>
      </c>
      <c r="H62" t="s">
        <v>53</v>
      </c>
      <c r="I62">
        <v>155</v>
      </c>
      <c r="J62">
        <v>12.16</v>
      </c>
      <c r="K62" t="s">
        <v>16</v>
      </c>
    </row>
    <row r="63" spans="1:11" x14ac:dyDescent="0.25">
      <c r="A63">
        <v>2012</v>
      </c>
      <c r="B63">
        <v>2019</v>
      </c>
      <c r="C63">
        <v>11</v>
      </c>
      <c r="D63" t="s">
        <v>17</v>
      </c>
      <c r="E63" t="s">
        <v>12</v>
      </c>
      <c r="F63" t="s">
        <v>13</v>
      </c>
      <c r="G63" t="s">
        <v>52</v>
      </c>
      <c r="H63" t="s">
        <v>53</v>
      </c>
      <c r="I63">
        <v>151.9</v>
      </c>
      <c r="J63">
        <v>8.73</v>
      </c>
      <c r="K63" t="s">
        <v>16</v>
      </c>
    </row>
    <row r="64" spans="1:11" x14ac:dyDescent="0.25">
      <c r="A64">
        <v>2012</v>
      </c>
      <c r="B64">
        <v>2019</v>
      </c>
      <c r="C64">
        <v>10</v>
      </c>
      <c r="D64" t="s">
        <v>18</v>
      </c>
      <c r="E64" t="s">
        <v>12</v>
      </c>
      <c r="F64" t="s">
        <v>13</v>
      </c>
      <c r="G64" t="s">
        <v>52</v>
      </c>
      <c r="H64" t="s">
        <v>53</v>
      </c>
      <c r="I64">
        <v>149.6</v>
      </c>
      <c r="J64">
        <v>6.93</v>
      </c>
      <c r="K64" t="s">
        <v>16</v>
      </c>
    </row>
    <row r="65" spans="1:11" x14ac:dyDescent="0.25">
      <c r="A65">
        <v>2012</v>
      </c>
      <c r="B65">
        <v>2019</v>
      </c>
      <c r="C65">
        <v>9</v>
      </c>
      <c r="D65" t="s">
        <v>19</v>
      </c>
      <c r="E65" t="s">
        <v>12</v>
      </c>
      <c r="F65" t="s">
        <v>13</v>
      </c>
      <c r="G65" t="s">
        <v>52</v>
      </c>
      <c r="H65" t="s">
        <v>53</v>
      </c>
      <c r="I65">
        <v>147</v>
      </c>
      <c r="J65">
        <v>4.7</v>
      </c>
      <c r="K65" t="s">
        <v>16</v>
      </c>
    </row>
    <row r="66" spans="1:11" x14ac:dyDescent="0.25">
      <c r="A66">
        <v>2012</v>
      </c>
      <c r="B66">
        <v>2019</v>
      </c>
      <c r="C66">
        <v>8</v>
      </c>
      <c r="D66" t="s">
        <v>20</v>
      </c>
      <c r="E66" t="s">
        <v>12</v>
      </c>
      <c r="F66" t="s">
        <v>13</v>
      </c>
      <c r="G66" t="s">
        <v>52</v>
      </c>
      <c r="H66" t="s">
        <v>53</v>
      </c>
      <c r="I66">
        <v>145.9</v>
      </c>
      <c r="J66">
        <v>2.96</v>
      </c>
      <c r="K66" t="s">
        <v>16</v>
      </c>
    </row>
    <row r="67" spans="1:11" x14ac:dyDescent="0.25">
      <c r="A67">
        <v>2012</v>
      </c>
      <c r="B67">
        <v>2019</v>
      </c>
      <c r="C67">
        <v>7</v>
      </c>
      <c r="D67" t="s">
        <v>21</v>
      </c>
      <c r="E67" t="s">
        <v>12</v>
      </c>
      <c r="F67" t="s">
        <v>13</v>
      </c>
      <c r="G67" t="s">
        <v>52</v>
      </c>
      <c r="H67" t="s">
        <v>53</v>
      </c>
      <c r="I67">
        <v>144.69999999999999</v>
      </c>
      <c r="J67">
        <v>2.33</v>
      </c>
      <c r="K67" t="s">
        <v>16</v>
      </c>
    </row>
    <row r="68" spans="1:11" x14ac:dyDescent="0.25">
      <c r="A68">
        <v>2012</v>
      </c>
      <c r="B68">
        <v>2019</v>
      </c>
      <c r="C68">
        <v>6</v>
      </c>
      <c r="D68" t="s">
        <v>22</v>
      </c>
      <c r="E68" t="s">
        <v>12</v>
      </c>
      <c r="F68" t="s">
        <v>13</v>
      </c>
      <c r="G68" t="s">
        <v>52</v>
      </c>
      <c r="H68" t="s">
        <v>53</v>
      </c>
      <c r="I68">
        <v>142.69999999999999</v>
      </c>
      <c r="J68">
        <v>2.37</v>
      </c>
      <c r="K68" t="s">
        <v>16</v>
      </c>
    </row>
    <row r="69" spans="1:11" x14ac:dyDescent="0.25">
      <c r="A69">
        <v>2012</v>
      </c>
      <c r="B69">
        <v>2019</v>
      </c>
      <c r="C69">
        <v>5</v>
      </c>
      <c r="D69" t="s">
        <v>23</v>
      </c>
      <c r="E69" t="s">
        <v>12</v>
      </c>
      <c r="F69" t="s">
        <v>13</v>
      </c>
      <c r="G69" t="s">
        <v>52</v>
      </c>
      <c r="H69" t="s">
        <v>53</v>
      </c>
      <c r="I69">
        <v>140.9</v>
      </c>
      <c r="J69">
        <v>2.0299999999999998</v>
      </c>
      <c r="K69" t="s">
        <v>16</v>
      </c>
    </row>
    <row r="70" spans="1:11" x14ac:dyDescent="0.25">
      <c r="A70">
        <v>2012</v>
      </c>
      <c r="B70">
        <v>2019</v>
      </c>
      <c r="C70">
        <v>4</v>
      </c>
      <c r="D70" t="s">
        <v>24</v>
      </c>
      <c r="E70" t="s">
        <v>12</v>
      </c>
      <c r="F70" t="s">
        <v>13</v>
      </c>
      <c r="G70" t="s">
        <v>52</v>
      </c>
      <c r="H70" t="s">
        <v>53</v>
      </c>
      <c r="I70">
        <v>139.4</v>
      </c>
      <c r="J70">
        <v>1.38</v>
      </c>
      <c r="K70" t="s">
        <v>16</v>
      </c>
    </row>
    <row r="71" spans="1:11" x14ac:dyDescent="0.25">
      <c r="A71">
        <v>2012</v>
      </c>
      <c r="B71">
        <v>2019</v>
      </c>
      <c r="C71">
        <v>3</v>
      </c>
      <c r="D71" t="s">
        <v>25</v>
      </c>
      <c r="E71" t="s">
        <v>12</v>
      </c>
      <c r="F71" t="s">
        <v>13</v>
      </c>
      <c r="G71" t="s">
        <v>52</v>
      </c>
      <c r="H71" t="s">
        <v>53</v>
      </c>
      <c r="I71">
        <v>138.1</v>
      </c>
      <c r="J71">
        <v>0.66</v>
      </c>
      <c r="K71" t="s">
        <v>16</v>
      </c>
    </row>
    <row r="72" spans="1:11" x14ac:dyDescent="0.25">
      <c r="A72">
        <v>2012</v>
      </c>
      <c r="B72">
        <v>2019</v>
      </c>
      <c r="C72">
        <v>2</v>
      </c>
      <c r="D72" t="s">
        <v>26</v>
      </c>
      <c r="E72" t="s">
        <v>12</v>
      </c>
      <c r="F72" t="s">
        <v>13</v>
      </c>
      <c r="G72" t="s">
        <v>52</v>
      </c>
      <c r="H72" t="s">
        <v>53</v>
      </c>
      <c r="I72">
        <v>137.5</v>
      </c>
      <c r="J72">
        <v>-7.0000000000000007E-2</v>
      </c>
      <c r="K72" t="s">
        <v>16</v>
      </c>
    </row>
    <row r="73" spans="1:11" x14ac:dyDescent="0.25">
      <c r="A73">
        <v>2012</v>
      </c>
      <c r="B73">
        <v>2019</v>
      </c>
      <c r="C73">
        <v>1</v>
      </c>
      <c r="D73" t="s">
        <v>27</v>
      </c>
      <c r="E73" t="s">
        <v>12</v>
      </c>
      <c r="F73" t="s">
        <v>13</v>
      </c>
      <c r="G73" t="s">
        <v>52</v>
      </c>
      <c r="H73" t="s">
        <v>53</v>
      </c>
      <c r="I73">
        <v>137.4</v>
      </c>
      <c r="J73">
        <v>-1.29</v>
      </c>
      <c r="K73" t="s">
        <v>16</v>
      </c>
    </row>
    <row r="74" spans="1:11" x14ac:dyDescent="0.25">
      <c r="A74">
        <v>2012</v>
      </c>
      <c r="B74">
        <v>2018</v>
      </c>
      <c r="C74">
        <v>12</v>
      </c>
      <c r="D74" t="s">
        <v>11</v>
      </c>
      <c r="E74" t="s">
        <v>12</v>
      </c>
      <c r="F74" t="s">
        <v>13</v>
      </c>
      <c r="G74" t="s">
        <v>52</v>
      </c>
      <c r="H74" t="s">
        <v>53</v>
      </c>
      <c r="I74">
        <v>138.19999999999999</v>
      </c>
      <c r="J74">
        <v>-1.64</v>
      </c>
      <c r="K74" t="s">
        <v>16</v>
      </c>
    </row>
    <row r="75" spans="1:11" x14ac:dyDescent="0.25">
      <c r="A75">
        <v>2012</v>
      </c>
      <c r="B75">
        <v>2018</v>
      </c>
      <c r="C75">
        <v>11</v>
      </c>
      <c r="D75" t="s">
        <v>17</v>
      </c>
      <c r="E75" t="s">
        <v>12</v>
      </c>
      <c r="F75" t="s">
        <v>13</v>
      </c>
      <c r="G75" t="s">
        <v>52</v>
      </c>
      <c r="H75" t="s">
        <v>53</v>
      </c>
      <c r="I75">
        <v>139.69999999999999</v>
      </c>
      <c r="J75">
        <v>-1.69</v>
      </c>
      <c r="K75" t="s">
        <v>16</v>
      </c>
    </row>
    <row r="76" spans="1:11" x14ac:dyDescent="0.25">
      <c r="A76">
        <v>2012</v>
      </c>
      <c r="B76">
        <v>2018</v>
      </c>
      <c r="C76">
        <v>10</v>
      </c>
      <c r="D76" t="s">
        <v>18</v>
      </c>
      <c r="E76" t="s">
        <v>12</v>
      </c>
      <c r="F76" t="s">
        <v>13</v>
      </c>
      <c r="G76" t="s">
        <v>52</v>
      </c>
      <c r="H76" t="s">
        <v>53</v>
      </c>
      <c r="I76">
        <v>139.9</v>
      </c>
      <c r="J76">
        <v>-0.14000000000000001</v>
      </c>
      <c r="K76" t="s">
        <v>16</v>
      </c>
    </row>
    <row r="77" spans="1:11" x14ac:dyDescent="0.25">
      <c r="A77">
        <v>2012</v>
      </c>
      <c r="B77">
        <v>2018</v>
      </c>
      <c r="C77">
        <v>9</v>
      </c>
      <c r="D77" t="s">
        <v>19</v>
      </c>
      <c r="E77" t="s">
        <v>12</v>
      </c>
      <c r="F77" t="s">
        <v>13</v>
      </c>
      <c r="G77" t="s">
        <v>52</v>
      </c>
      <c r="H77" t="s">
        <v>53</v>
      </c>
      <c r="I77">
        <v>140.4</v>
      </c>
      <c r="J77">
        <v>1.01</v>
      </c>
      <c r="K77" t="s">
        <v>16</v>
      </c>
    </row>
    <row r="78" spans="1:11" x14ac:dyDescent="0.25">
      <c r="A78">
        <v>2012</v>
      </c>
      <c r="B78">
        <v>2018</v>
      </c>
      <c r="C78">
        <v>8</v>
      </c>
      <c r="D78" t="s">
        <v>20</v>
      </c>
      <c r="E78" t="s">
        <v>12</v>
      </c>
      <c r="F78" t="s">
        <v>13</v>
      </c>
      <c r="G78" t="s">
        <v>52</v>
      </c>
      <c r="H78" t="s">
        <v>53</v>
      </c>
      <c r="I78">
        <v>141.69999999999999</v>
      </c>
      <c r="J78">
        <v>0.78</v>
      </c>
      <c r="K78" t="s">
        <v>16</v>
      </c>
    </row>
    <row r="79" spans="1:11" x14ac:dyDescent="0.25">
      <c r="A79">
        <v>2012</v>
      </c>
      <c r="B79">
        <v>2018</v>
      </c>
      <c r="C79">
        <v>7</v>
      </c>
      <c r="D79" t="s">
        <v>21</v>
      </c>
      <c r="E79" t="s">
        <v>12</v>
      </c>
      <c r="F79" t="s">
        <v>13</v>
      </c>
      <c r="G79" t="s">
        <v>52</v>
      </c>
      <c r="H79" t="s">
        <v>53</v>
      </c>
      <c r="I79">
        <v>141.4</v>
      </c>
      <c r="J79">
        <v>1.73</v>
      </c>
      <c r="K79" t="s">
        <v>16</v>
      </c>
    </row>
    <row r="80" spans="1:11" x14ac:dyDescent="0.25">
      <c r="A80">
        <v>2012</v>
      </c>
      <c r="B80">
        <v>2018</v>
      </c>
      <c r="C80">
        <v>6</v>
      </c>
      <c r="D80" t="s">
        <v>22</v>
      </c>
      <c r="E80" t="s">
        <v>12</v>
      </c>
      <c r="F80" t="s">
        <v>13</v>
      </c>
      <c r="G80" t="s">
        <v>52</v>
      </c>
      <c r="H80" t="s">
        <v>53</v>
      </c>
      <c r="I80">
        <v>139.4</v>
      </c>
      <c r="J80">
        <v>3.11</v>
      </c>
      <c r="K80" t="s">
        <v>16</v>
      </c>
    </row>
    <row r="81" spans="1:11" x14ac:dyDescent="0.25">
      <c r="A81">
        <v>2012</v>
      </c>
      <c r="B81">
        <v>2018</v>
      </c>
      <c r="C81">
        <v>5</v>
      </c>
      <c r="D81" t="s">
        <v>23</v>
      </c>
      <c r="E81" t="s">
        <v>12</v>
      </c>
      <c r="F81" t="s">
        <v>13</v>
      </c>
      <c r="G81" t="s">
        <v>52</v>
      </c>
      <c r="H81" t="s">
        <v>53</v>
      </c>
      <c r="I81">
        <v>138.1</v>
      </c>
      <c r="J81">
        <v>3.29</v>
      </c>
      <c r="K81" t="s">
        <v>16</v>
      </c>
    </row>
    <row r="82" spans="1:11" x14ac:dyDescent="0.25">
      <c r="A82">
        <v>2012</v>
      </c>
      <c r="B82">
        <v>2018</v>
      </c>
      <c r="C82">
        <v>4</v>
      </c>
      <c r="D82" t="s">
        <v>24</v>
      </c>
      <c r="E82" t="s">
        <v>12</v>
      </c>
      <c r="F82" t="s">
        <v>13</v>
      </c>
      <c r="G82" t="s">
        <v>52</v>
      </c>
      <c r="H82" t="s">
        <v>53</v>
      </c>
      <c r="I82">
        <v>137.5</v>
      </c>
      <c r="J82">
        <v>3</v>
      </c>
      <c r="K82" t="s">
        <v>16</v>
      </c>
    </row>
    <row r="83" spans="1:11" x14ac:dyDescent="0.25">
      <c r="A83">
        <v>2012</v>
      </c>
      <c r="B83">
        <v>2018</v>
      </c>
      <c r="C83">
        <v>3</v>
      </c>
      <c r="D83" t="s">
        <v>25</v>
      </c>
      <c r="E83" t="s">
        <v>12</v>
      </c>
      <c r="F83" t="s">
        <v>13</v>
      </c>
      <c r="G83" t="s">
        <v>52</v>
      </c>
      <c r="H83" t="s">
        <v>53</v>
      </c>
      <c r="I83">
        <v>137.19999999999999</v>
      </c>
      <c r="J83">
        <v>3.08</v>
      </c>
      <c r="K83" t="s">
        <v>16</v>
      </c>
    </row>
    <row r="84" spans="1:11" x14ac:dyDescent="0.25">
      <c r="A84">
        <v>2012</v>
      </c>
      <c r="B84">
        <v>2018</v>
      </c>
      <c r="C84">
        <v>2</v>
      </c>
      <c r="D84" t="s">
        <v>26</v>
      </c>
      <c r="E84" t="s">
        <v>12</v>
      </c>
      <c r="F84" t="s">
        <v>13</v>
      </c>
      <c r="G84" t="s">
        <v>52</v>
      </c>
      <c r="H84" t="s">
        <v>53</v>
      </c>
      <c r="I84">
        <v>137.6</v>
      </c>
      <c r="J84">
        <v>3.46</v>
      </c>
      <c r="K84" t="s">
        <v>16</v>
      </c>
    </row>
    <row r="85" spans="1:11" x14ac:dyDescent="0.25">
      <c r="A85">
        <v>2012</v>
      </c>
      <c r="B85">
        <v>2018</v>
      </c>
      <c r="C85">
        <v>1</v>
      </c>
      <c r="D85" t="s">
        <v>27</v>
      </c>
      <c r="E85" t="s">
        <v>12</v>
      </c>
      <c r="F85" t="s">
        <v>13</v>
      </c>
      <c r="G85" t="s">
        <v>52</v>
      </c>
      <c r="H85" t="s">
        <v>53</v>
      </c>
      <c r="I85">
        <v>139.19999999999999</v>
      </c>
      <c r="J85">
        <v>4.58</v>
      </c>
      <c r="K85" t="s">
        <v>16</v>
      </c>
    </row>
    <row r="86" spans="1:11" x14ac:dyDescent="0.25">
      <c r="A86">
        <v>2012</v>
      </c>
      <c r="B86">
        <v>2017</v>
      </c>
      <c r="C86">
        <v>12</v>
      </c>
      <c r="D86" t="s">
        <v>11</v>
      </c>
      <c r="E86" t="s">
        <v>12</v>
      </c>
      <c r="F86" t="s">
        <v>13</v>
      </c>
      <c r="G86" t="s">
        <v>52</v>
      </c>
      <c r="H86" t="s">
        <v>53</v>
      </c>
      <c r="I86">
        <v>140.5</v>
      </c>
      <c r="J86">
        <v>4.8499999999999996</v>
      </c>
      <c r="K86" t="s">
        <v>16</v>
      </c>
    </row>
    <row r="87" spans="1:11" x14ac:dyDescent="0.25">
      <c r="A87">
        <v>2012</v>
      </c>
      <c r="B87">
        <v>2017</v>
      </c>
      <c r="C87">
        <v>11</v>
      </c>
      <c r="D87" t="s">
        <v>17</v>
      </c>
      <c r="E87" t="s">
        <v>12</v>
      </c>
      <c r="F87" t="s">
        <v>13</v>
      </c>
      <c r="G87" t="s">
        <v>52</v>
      </c>
      <c r="H87" t="s">
        <v>53</v>
      </c>
      <c r="I87">
        <v>142.1</v>
      </c>
      <c r="J87">
        <v>4.41</v>
      </c>
      <c r="K87" t="s">
        <v>16</v>
      </c>
    </row>
    <row r="88" spans="1:11" x14ac:dyDescent="0.25">
      <c r="A88">
        <v>2012</v>
      </c>
      <c r="B88">
        <v>2017</v>
      </c>
      <c r="C88">
        <v>10</v>
      </c>
      <c r="D88" t="s">
        <v>18</v>
      </c>
      <c r="E88" t="s">
        <v>12</v>
      </c>
      <c r="F88" t="s">
        <v>13</v>
      </c>
      <c r="G88" t="s">
        <v>52</v>
      </c>
      <c r="H88" t="s">
        <v>53</v>
      </c>
      <c r="I88">
        <v>140.1</v>
      </c>
      <c r="J88">
        <v>2.2599999999999998</v>
      </c>
      <c r="K88" t="s">
        <v>16</v>
      </c>
    </row>
    <row r="89" spans="1:11" x14ac:dyDescent="0.25">
      <c r="A89">
        <v>2012</v>
      </c>
      <c r="B89">
        <v>2017</v>
      </c>
      <c r="C89">
        <v>9</v>
      </c>
      <c r="D89" t="s">
        <v>19</v>
      </c>
      <c r="E89" t="s">
        <v>12</v>
      </c>
      <c r="F89" t="s">
        <v>13</v>
      </c>
      <c r="G89" t="s">
        <v>52</v>
      </c>
      <c r="H89" t="s">
        <v>53</v>
      </c>
      <c r="I89">
        <v>139</v>
      </c>
      <c r="J89">
        <v>1.76</v>
      </c>
      <c r="K89" t="s">
        <v>16</v>
      </c>
    </row>
    <row r="90" spans="1:11" x14ac:dyDescent="0.25">
      <c r="A90">
        <v>2012</v>
      </c>
      <c r="B90">
        <v>2017</v>
      </c>
      <c r="C90">
        <v>8</v>
      </c>
      <c r="D90" t="s">
        <v>20</v>
      </c>
      <c r="E90" t="s">
        <v>12</v>
      </c>
      <c r="F90" t="s">
        <v>13</v>
      </c>
      <c r="G90" t="s">
        <v>52</v>
      </c>
      <c r="H90" t="s">
        <v>53</v>
      </c>
      <c r="I90">
        <v>140.6</v>
      </c>
      <c r="J90">
        <v>1.96</v>
      </c>
      <c r="K90" t="s">
        <v>16</v>
      </c>
    </row>
    <row r="91" spans="1:11" x14ac:dyDescent="0.25">
      <c r="A91">
        <v>2012</v>
      </c>
      <c r="B91">
        <v>2017</v>
      </c>
      <c r="C91">
        <v>7</v>
      </c>
      <c r="D91" t="s">
        <v>21</v>
      </c>
      <c r="E91" t="s">
        <v>12</v>
      </c>
      <c r="F91" t="s">
        <v>13</v>
      </c>
      <c r="G91" t="s">
        <v>52</v>
      </c>
      <c r="H91" t="s">
        <v>53</v>
      </c>
      <c r="I91">
        <v>139</v>
      </c>
      <c r="J91">
        <v>0.43</v>
      </c>
      <c r="K91" t="s">
        <v>16</v>
      </c>
    </row>
    <row r="92" spans="1:11" x14ac:dyDescent="0.25">
      <c r="A92">
        <v>2012</v>
      </c>
      <c r="B92">
        <v>2017</v>
      </c>
      <c r="C92">
        <v>6</v>
      </c>
      <c r="D92" t="s">
        <v>22</v>
      </c>
      <c r="E92" t="s">
        <v>12</v>
      </c>
      <c r="F92" t="s">
        <v>13</v>
      </c>
      <c r="G92" t="s">
        <v>52</v>
      </c>
      <c r="H92" t="s">
        <v>53</v>
      </c>
      <c r="I92">
        <v>135.19999999999999</v>
      </c>
      <c r="J92">
        <v>-1.17</v>
      </c>
      <c r="K92" t="s">
        <v>16</v>
      </c>
    </row>
    <row r="93" spans="1:11" x14ac:dyDescent="0.25">
      <c r="A93">
        <v>2012</v>
      </c>
      <c r="B93">
        <v>2017</v>
      </c>
      <c r="C93">
        <v>5</v>
      </c>
      <c r="D93" t="s">
        <v>23</v>
      </c>
      <c r="E93" t="s">
        <v>12</v>
      </c>
      <c r="F93" t="s">
        <v>13</v>
      </c>
      <c r="G93" t="s">
        <v>52</v>
      </c>
      <c r="H93" t="s">
        <v>53</v>
      </c>
      <c r="I93">
        <v>133.69999999999999</v>
      </c>
      <c r="J93">
        <v>-0.22</v>
      </c>
      <c r="K93" t="s">
        <v>16</v>
      </c>
    </row>
    <row r="94" spans="1:11" x14ac:dyDescent="0.25">
      <c r="A94">
        <v>2012</v>
      </c>
      <c r="B94">
        <v>2017</v>
      </c>
      <c r="C94">
        <v>4</v>
      </c>
      <c r="D94" t="s">
        <v>24</v>
      </c>
      <c r="E94" t="s">
        <v>12</v>
      </c>
      <c r="F94" t="s">
        <v>13</v>
      </c>
      <c r="G94" t="s">
        <v>52</v>
      </c>
      <c r="H94" t="s">
        <v>53</v>
      </c>
      <c r="I94">
        <v>133.5</v>
      </c>
      <c r="J94">
        <v>1.29</v>
      </c>
      <c r="K94" t="s">
        <v>16</v>
      </c>
    </row>
    <row r="95" spans="1:11" x14ac:dyDescent="0.25">
      <c r="A95">
        <v>2012</v>
      </c>
      <c r="B95">
        <v>2017</v>
      </c>
      <c r="C95">
        <v>3</v>
      </c>
      <c r="D95" t="s">
        <v>25</v>
      </c>
      <c r="E95" t="s">
        <v>12</v>
      </c>
      <c r="F95" t="s">
        <v>13</v>
      </c>
      <c r="G95" t="s">
        <v>52</v>
      </c>
      <c r="H95" t="s">
        <v>53</v>
      </c>
      <c r="I95">
        <v>133.1</v>
      </c>
      <c r="J95">
        <v>2.54</v>
      </c>
      <c r="K95" t="s">
        <v>16</v>
      </c>
    </row>
    <row r="96" spans="1:11" x14ac:dyDescent="0.25">
      <c r="A96">
        <v>2012</v>
      </c>
      <c r="B96">
        <v>2017</v>
      </c>
      <c r="C96">
        <v>2</v>
      </c>
      <c r="D96" t="s">
        <v>26</v>
      </c>
      <c r="E96" t="s">
        <v>12</v>
      </c>
      <c r="F96" t="s">
        <v>13</v>
      </c>
      <c r="G96" t="s">
        <v>52</v>
      </c>
      <c r="H96" t="s">
        <v>53</v>
      </c>
      <c r="I96">
        <v>133</v>
      </c>
      <c r="J96">
        <v>2.39</v>
      </c>
      <c r="K96" t="s">
        <v>16</v>
      </c>
    </row>
    <row r="97" spans="1:11" x14ac:dyDescent="0.25">
      <c r="A97">
        <v>2012</v>
      </c>
      <c r="B97">
        <v>2017</v>
      </c>
      <c r="C97">
        <v>1</v>
      </c>
      <c r="D97" t="s">
        <v>27</v>
      </c>
      <c r="E97" t="s">
        <v>12</v>
      </c>
      <c r="F97" t="s">
        <v>13</v>
      </c>
      <c r="G97" t="s">
        <v>52</v>
      </c>
      <c r="H97" t="s">
        <v>53</v>
      </c>
      <c r="I97">
        <v>133.1</v>
      </c>
      <c r="J97">
        <v>1.37</v>
      </c>
      <c r="K97" t="s">
        <v>16</v>
      </c>
    </row>
    <row r="98" spans="1:11" x14ac:dyDescent="0.25">
      <c r="A98">
        <v>2012</v>
      </c>
      <c r="B98">
        <v>2016</v>
      </c>
      <c r="C98">
        <v>12</v>
      </c>
      <c r="D98" t="s">
        <v>11</v>
      </c>
      <c r="E98" t="s">
        <v>12</v>
      </c>
      <c r="F98" t="s">
        <v>13</v>
      </c>
      <c r="G98" t="s">
        <v>52</v>
      </c>
      <c r="H98" t="s">
        <v>53</v>
      </c>
      <c r="I98">
        <v>134</v>
      </c>
      <c r="J98">
        <v>1.98</v>
      </c>
      <c r="K98" t="s">
        <v>16</v>
      </c>
    </row>
    <row r="99" spans="1:11" x14ac:dyDescent="0.25">
      <c r="A99">
        <v>2012</v>
      </c>
      <c r="B99">
        <v>2016</v>
      </c>
      <c r="C99">
        <v>11</v>
      </c>
      <c r="D99" t="s">
        <v>17</v>
      </c>
      <c r="E99" t="s">
        <v>12</v>
      </c>
      <c r="F99" t="s">
        <v>13</v>
      </c>
      <c r="G99" t="s">
        <v>52</v>
      </c>
      <c r="H99" t="s">
        <v>53</v>
      </c>
      <c r="I99">
        <v>136.1</v>
      </c>
      <c r="J99">
        <v>2.56</v>
      </c>
      <c r="K99" t="s">
        <v>16</v>
      </c>
    </row>
    <row r="100" spans="1:11" x14ac:dyDescent="0.25">
      <c r="A100">
        <v>2012</v>
      </c>
      <c r="B100">
        <v>2016</v>
      </c>
      <c r="C100">
        <v>10</v>
      </c>
      <c r="D100" t="s">
        <v>18</v>
      </c>
      <c r="E100" t="s">
        <v>12</v>
      </c>
      <c r="F100" t="s">
        <v>13</v>
      </c>
      <c r="G100" t="s">
        <v>52</v>
      </c>
      <c r="H100" t="s">
        <v>53</v>
      </c>
      <c r="I100">
        <v>137</v>
      </c>
      <c r="J100">
        <v>3.71</v>
      </c>
      <c r="K100" t="s">
        <v>16</v>
      </c>
    </row>
    <row r="101" spans="1:11" x14ac:dyDescent="0.25">
      <c r="A101">
        <v>2012</v>
      </c>
      <c r="B101">
        <v>2016</v>
      </c>
      <c r="C101">
        <v>9</v>
      </c>
      <c r="D101" t="s">
        <v>19</v>
      </c>
      <c r="E101" t="s">
        <v>12</v>
      </c>
      <c r="F101" t="s">
        <v>13</v>
      </c>
      <c r="G101" t="s">
        <v>52</v>
      </c>
      <c r="H101" t="s">
        <v>53</v>
      </c>
      <c r="I101">
        <v>136.6</v>
      </c>
      <c r="J101">
        <v>4.12</v>
      </c>
      <c r="K101" t="s">
        <v>16</v>
      </c>
    </row>
    <row r="102" spans="1:11" x14ac:dyDescent="0.25">
      <c r="A102">
        <v>2012</v>
      </c>
      <c r="B102">
        <v>2016</v>
      </c>
      <c r="C102">
        <v>8</v>
      </c>
      <c r="D102" t="s">
        <v>20</v>
      </c>
      <c r="E102" t="s">
        <v>12</v>
      </c>
      <c r="F102" t="s">
        <v>13</v>
      </c>
      <c r="G102" t="s">
        <v>52</v>
      </c>
      <c r="H102" t="s">
        <v>53</v>
      </c>
      <c r="I102">
        <v>137.9</v>
      </c>
      <c r="J102">
        <v>5.83</v>
      </c>
      <c r="K102" t="s">
        <v>16</v>
      </c>
    </row>
    <row r="103" spans="1:11" x14ac:dyDescent="0.25">
      <c r="A103">
        <v>2012</v>
      </c>
      <c r="B103">
        <v>2016</v>
      </c>
      <c r="C103">
        <v>7</v>
      </c>
      <c r="D103" t="s">
        <v>21</v>
      </c>
      <c r="E103" t="s">
        <v>12</v>
      </c>
      <c r="F103" t="s">
        <v>13</v>
      </c>
      <c r="G103" t="s">
        <v>52</v>
      </c>
      <c r="H103" t="s">
        <v>53</v>
      </c>
      <c r="I103">
        <v>138.4</v>
      </c>
      <c r="J103">
        <v>7.96</v>
      </c>
      <c r="K103" t="s">
        <v>16</v>
      </c>
    </row>
    <row r="104" spans="1:11" x14ac:dyDescent="0.25">
      <c r="A104">
        <v>2012</v>
      </c>
      <c r="B104">
        <v>2016</v>
      </c>
      <c r="C104">
        <v>6</v>
      </c>
      <c r="D104" t="s">
        <v>22</v>
      </c>
      <c r="E104" t="s">
        <v>12</v>
      </c>
      <c r="F104" t="s">
        <v>13</v>
      </c>
      <c r="G104" t="s">
        <v>52</v>
      </c>
      <c r="H104" t="s">
        <v>53</v>
      </c>
      <c r="I104">
        <v>136.80000000000001</v>
      </c>
      <c r="J104">
        <v>7.46</v>
      </c>
      <c r="K104" t="s">
        <v>16</v>
      </c>
    </row>
    <row r="105" spans="1:11" x14ac:dyDescent="0.25">
      <c r="A105">
        <v>2012</v>
      </c>
      <c r="B105">
        <v>2016</v>
      </c>
      <c r="C105">
        <v>5</v>
      </c>
      <c r="D105" t="s">
        <v>23</v>
      </c>
      <c r="E105" t="s">
        <v>12</v>
      </c>
      <c r="F105" t="s">
        <v>13</v>
      </c>
      <c r="G105" t="s">
        <v>52</v>
      </c>
      <c r="H105" t="s">
        <v>53</v>
      </c>
      <c r="I105">
        <v>134</v>
      </c>
      <c r="J105">
        <v>7.2</v>
      </c>
      <c r="K105" t="s">
        <v>16</v>
      </c>
    </row>
    <row r="106" spans="1:11" x14ac:dyDescent="0.25">
      <c r="A106">
        <v>2012</v>
      </c>
      <c r="B106">
        <v>2016</v>
      </c>
      <c r="C106">
        <v>4</v>
      </c>
      <c r="D106" t="s">
        <v>24</v>
      </c>
      <c r="E106" t="s">
        <v>12</v>
      </c>
      <c r="F106" t="s">
        <v>13</v>
      </c>
      <c r="G106" t="s">
        <v>52</v>
      </c>
      <c r="H106" t="s">
        <v>53</v>
      </c>
      <c r="I106">
        <v>131.80000000000001</v>
      </c>
      <c r="J106">
        <v>6.29</v>
      </c>
      <c r="K106" t="s">
        <v>16</v>
      </c>
    </row>
    <row r="107" spans="1:11" x14ac:dyDescent="0.25">
      <c r="A107">
        <v>2012</v>
      </c>
      <c r="B107">
        <v>2016</v>
      </c>
      <c r="C107">
        <v>3</v>
      </c>
      <c r="D107" t="s">
        <v>25</v>
      </c>
      <c r="E107" t="s">
        <v>12</v>
      </c>
      <c r="F107" t="s">
        <v>13</v>
      </c>
      <c r="G107" t="s">
        <v>52</v>
      </c>
      <c r="H107" t="s">
        <v>53</v>
      </c>
      <c r="I107">
        <v>129.80000000000001</v>
      </c>
      <c r="J107">
        <v>5.19</v>
      </c>
      <c r="K107" t="s">
        <v>16</v>
      </c>
    </row>
    <row r="108" spans="1:11" x14ac:dyDescent="0.25">
      <c r="A108">
        <v>2012</v>
      </c>
      <c r="B108">
        <v>2016</v>
      </c>
      <c r="C108">
        <v>2</v>
      </c>
      <c r="D108" t="s">
        <v>26</v>
      </c>
      <c r="E108" t="s">
        <v>12</v>
      </c>
      <c r="F108" t="s">
        <v>13</v>
      </c>
      <c r="G108" t="s">
        <v>52</v>
      </c>
      <c r="H108" t="s">
        <v>53</v>
      </c>
      <c r="I108">
        <v>129.9</v>
      </c>
      <c r="J108">
        <v>5.52</v>
      </c>
      <c r="K108" t="s">
        <v>16</v>
      </c>
    </row>
    <row r="109" spans="1:11" x14ac:dyDescent="0.25">
      <c r="A109">
        <v>2012</v>
      </c>
      <c r="B109">
        <v>2016</v>
      </c>
      <c r="C109">
        <v>1</v>
      </c>
      <c r="D109" t="s">
        <v>27</v>
      </c>
      <c r="E109" t="s">
        <v>12</v>
      </c>
      <c r="F109" t="s">
        <v>13</v>
      </c>
      <c r="G109" t="s">
        <v>52</v>
      </c>
      <c r="H109" t="s">
        <v>53</v>
      </c>
      <c r="I109">
        <v>131.30000000000001</v>
      </c>
      <c r="J109">
        <v>6.66</v>
      </c>
      <c r="K109" t="s">
        <v>16</v>
      </c>
    </row>
    <row r="110" spans="1:11" x14ac:dyDescent="0.25">
      <c r="A110">
        <v>2012</v>
      </c>
      <c r="B110">
        <v>2015</v>
      </c>
      <c r="C110">
        <v>12</v>
      </c>
      <c r="D110" t="s">
        <v>11</v>
      </c>
      <c r="E110" t="s">
        <v>12</v>
      </c>
      <c r="F110" t="s">
        <v>13</v>
      </c>
      <c r="G110" t="s">
        <v>52</v>
      </c>
      <c r="H110" t="s">
        <v>53</v>
      </c>
      <c r="I110">
        <v>131.4</v>
      </c>
      <c r="J110">
        <v>6.31</v>
      </c>
      <c r="K110" t="s">
        <v>16</v>
      </c>
    </row>
    <row r="111" spans="1:11" x14ac:dyDescent="0.25">
      <c r="A111">
        <v>2012</v>
      </c>
      <c r="B111">
        <v>2015</v>
      </c>
      <c r="C111">
        <v>11</v>
      </c>
      <c r="D111" t="s">
        <v>17</v>
      </c>
      <c r="E111" t="s">
        <v>12</v>
      </c>
      <c r="F111" t="s">
        <v>13</v>
      </c>
      <c r="G111" t="s">
        <v>52</v>
      </c>
      <c r="H111" t="s">
        <v>53</v>
      </c>
      <c r="I111">
        <v>132.69999999999999</v>
      </c>
      <c r="J111">
        <v>6.08</v>
      </c>
      <c r="K111" t="s">
        <v>16</v>
      </c>
    </row>
    <row r="112" spans="1:11" x14ac:dyDescent="0.25">
      <c r="A112">
        <v>2012</v>
      </c>
      <c r="B112">
        <v>2015</v>
      </c>
      <c r="C112">
        <v>10</v>
      </c>
      <c r="D112" t="s">
        <v>18</v>
      </c>
      <c r="E112" t="s">
        <v>12</v>
      </c>
      <c r="F112" t="s">
        <v>13</v>
      </c>
      <c r="G112" t="s">
        <v>52</v>
      </c>
      <c r="H112" t="s">
        <v>53</v>
      </c>
      <c r="I112">
        <v>132.1</v>
      </c>
      <c r="J112">
        <v>5.34</v>
      </c>
      <c r="K112" t="s">
        <v>16</v>
      </c>
    </row>
    <row r="113" spans="1:11" x14ac:dyDescent="0.25">
      <c r="A113">
        <v>2012</v>
      </c>
      <c r="B113">
        <v>2015</v>
      </c>
      <c r="C113">
        <v>9</v>
      </c>
      <c r="D113" t="s">
        <v>19</v>
      </c>
      <c r="E113" t="s">
        <v>12</v>
      </c>
      <c r="F113" t="s">
        <v>13</v>
      </c>
      <c r="G113" t="s">
        <v>52</v>
      </c>
      <c r="H113" t="s">
        <v>53</v>
      </c>
      <c r="I113">
        <v>131.19999999999999</v>
      </c>
      <c r="J113">
        <v>4.29</v>
      </c>
      <c r="K113" t="s">
        <v>16</v>
      </c>
    </row>
    <row r="114" spans="1:11" x14ac:dyDescent="0.25">
      <c r="A114">
        <v>2012</v>
      </c>
      <c r="B114">
        <v>2015</v>
      </c>
      <c r="C114">
        <v>8</v>
      </c>
      <c r="D114" t="s">
        <v>20</v>
      </c>
      <c r="E114" t="s">
        <v>12</v>
      </c>
      <c r="F114" t="s">
        <v>13</v>
      </c>
      <c r="G114" t="s">
        <v>52</v>
      </c>
      <c r="H114" t="s">
        <v>53</v>
      </c>
      <c r="I114">
        <v>130.30000000000001</v>
      </c>
      <c r="J114">
        <v>2.92</v>
      </c>
      <c r="K114" t="s">
        <v>16</v>
      </c>
    </row>
    <row r="115" spans="1:11" x14ac:dyDescent="0.25">
      <c r="A115">
        <v>2012</v>
      </c>
      <c r="B115">
        <v>2015</v>
      </c>
      <c r="C115">
        <v>7</v>
      </c>
      <c r="D115" t="s">
        <v>21</v>
      </c>
      <c r="E115" t="s">
        <v>12</v>
      </c>
      <c r="F115" t="s">
        <v>13</v>
      </c>
      <c r="G115" t="s">
        <v>52</v>
      </c>
      <c r="H115" t="s">
        <v>53</v>
      </c>
      <c r="I115">
        <v>128.19999999999999</v>
      </c>
      <c r="J115">
        <v>2.81</v>
      </c>
      <c r="K115" t="s">
        <v>16</v>
      </c>
    </row>
    <row r="116" spans="1:11" x14ac:dyDescent="0.25">
      <c r="A116">
        <v>2012</v>
      </c>
      <c r="B116">
        <v>2015</v>
      </c>
      <c r="C116">
        <v>6</v>
      </c>
      <c r="D116" t="s">
        <v>22</v>
      </c>
      <c r="E116" t="s">
        <v>12</v>
      </c>
      <c r="F116" t="s">
        <v>13</v>
      </c>
      <c r="G116" t="s">
        <v>52</v>
      </c>
      <c r="H116" t="s">
        <v>53</v>
      </c>
      <c r="I116">
        <v>127.3</v>
      </c>
      <c r="J116">
        <v>5.73</v>
      </c>
      <c r="K116" t="s">
        <v>16</v>
      </c>
    </row>
    <row r="117" spans="1:11" x14ac:dyDescent="0.25">
      <c r="A117">
        <v>2012</v>
      </c>
      <c r="B117">
        <v>2015</v>
      </c>
      <c r="C117">
        <v>5</v>
      </c>
      <c r="D117" t="s">
        <v>23</v>
      </c>
      <c r="E117" t="s">
        <v>12</v>
      </c>
      <c r="F117" t="s">
        <v>13</v>
      </c>
      <c r="G117" t="s">
        <v>52</v>
      </c>
      <c r="H117" t="s">
        <v>53</v>
      </c>
      <c r="I117">
        <v>125</v>
      </c>
      <c r="J117">
        <v>5.13</v>
      </c>
      <c r="K117" t="s">
        <v>16</v>
      </c>
    </row>
    <row r="118" spans="1:11" x14ac:dyDescent="0.25">
      <c r="A118">
        <v>2012</v>
      </c>
      <c r="B118">
        <v>2015</v>
      </c>
      <c r="C118">
        <v>4</v>
      </c>
      <c r="D118" t="s">
        <v>24</v>
      </c>
      <c r="E118" t="s">
        <v>12</v>
      </c>
      <c r="F118" t="s">
        <v>13</v>
      </c>
      <c r="G118" t="s">
        <v>52</v>
      </c>
      <c r="H118" t="s">
        <v>53</v>
      </c>
      <c r="I118">
        <v>124</v>
      </c>
      <c r="J118">
        <v>5.44</v>
      </c>
      <c r="K118" t="s">
        <v>16</v>
      </c>
    </row>
    <row r="119" spans="1:11" x14ac:dyDescent="0.25">
      <c r="A119">
        <v>2012</v>
      </c>
      <c r="B119">
        <v>2015</v>
      </c>
      <c r="C119">
        <v>3</v>
      </c>
      <c r="D119" t="s">
        <v>25</v>
      </c>
      <c r="E119" t="s">
        <v>12</v>
      </c>
      <c r="F119" t="s">
        <v>13</v>
      </c>
      <c r="G119" t="s">
        <v>52</v>
      </c>
      <c r="H119" t="s">
        <v>53</v>
      </c>
      <c r="I119">
        <v>123.4</v>
      </c>
      <c r="J119">
        <v>6.29</v>
      </c>
      <c r="K119" t="s">
        <v>16</v>
      </c>
    </row>
    <row r="120" spans="1:11" x14ac:dyDescent="0.25">
      <c r="A120">
        <v>2012</v>
      </c>
      <c r="B120">
        <v>2015</v>
      </c>
      <c r="C120">
        <v>2</v>
      </c>
      <c r="D120" t="s">
        <v>26</v>
      </c>
      <c r="E120" t="s">
        <v>12</v>
      </c>
      <c r="F120" t="s">
        <v>13</v>
      </c>
      <c r="G120" t="s">
        <v>52</v>
      </c>
      <c r="H120" t="s">
        <v>53</v>
      </c>
      <c r="I120">
        <v>123.1</v>
      </c>
      <c r="J120">
        <v>6.76</v>
      </c>
      <c r="K120" t="s">
        <v>16</v>
      </c>
    </row>
    <row r="121" spans="1:11" x14ac:dyDescent="0.25">
      <c r="A121">
        <v>2012</v>
      </c>
      <c r="B121">
        <v>2015</v>
      </c>
      <c r="C121">
        <v>1</v>
      </c>
      <c r="D121" t="s">
        <v>27</v>
      </c>
      <c r="E121" t="s">
        <v>12</v>
      </c>
      <c r="F121" t="s">
        <v>13</v>
      </c>
      <c r="G121" t="s">
        <v>52</v>
      </c>
      <c r="H121" t="s">
        <v>53</v>
      </c>
      <c r="I121">
        <v>123.1</v>
      </c>
      <c r="J121">
        <v>6.3</v>
      </c>
      <c r="K121" t="s">
        <v>16</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CEFBB-0902-4363-9899-8F666389A7D2}">
  <dimension ref="A1:K121"/>
  <sheetViews>
    <sheetView workbookViewId="0">
      <selection activeCell="I37" sqref="I37"/>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2012</v>
      </c>
      <c r="B2">
        <v>2024</v>
      </c>
      <c r="C2">
        <v>12</v>
      </c>
      <c r="D2" t="s">
        <v>11</v>
      </c>
      <c r="E2" t="s">
        <v>12</v>
      </c>
      <c r="F2" t="s">
        <v>13</v>
      </c>
      <c r="G2" t="s">
        <v>54</v>
      </c>
      <c r="H2" t="s">
        <v>55</v>
      </c>
      <c r="I2">
        <v>177.8</v>
      </c>
      <c r="J2">
        <v>-1.33</v>
      </c>
      <c r="K2" t="s">
        <v>16</v>
      </c>
    </row>
    <row r="3" spans="1:11" x14ac:dyDescent="0.25">
      <c r="A3">
        <v>2012</v>
      </c>
      <c r="B3">
        <v>2024</v>
      </c>
      <c r="C3">
        <v>11</v>
      </c>
      <c r="D3" t="s">
        <v>17</v>
      </c>
      <c r="E3" t="s">
        <v>12</v>
      </c>
      <c r="F3" t="s">
        <v>13</v>
      </c>
      <c r="G3" t="s">
        <v>54</v>
      </c>
      <c r="H3" t="s">
        <v>55</v>
      </c>
      <c r="I3">
        <v>176.6</v>
      </c>
      <c r="J3">
        <v>-1.83</v>
      </c>
      <c r="K3" t="s">
        <v>16</v>
      </c>
    </row>
    <row r="4" spans="1:11" x14ac:dyDescent="0.25">
      <c r="A4">
        <v>2012</v>
      </c>
      <c r="B4">
        <v>2024</v>
      </c>
      <c r="C4">
        <v>10</v>
      </c>
      <c r="D4" t="s">
        <v>18</v>
      </c>
      <c r="E4" t="s">
        <v>12</v>
      </c>
      <c r="F4" t="s">
        <v>13</v>
      </c>
      <c r="G4" t="s">
        <v>54</v>
      </c>
      <c r="H4" t="s">
        <v>55</v>
      </c>
      <c r="I4">
        <v>176.8</v>
      </c>
      <c r="J4">
        <v>-1.67</v>
      </c>
      <c r="K4" t="s">
        <v>16</v>
      </c>
    </row>
    <row r="5" spans="1:11" x14ac:dyDescent="0.25">
      <c r="A5">
        <v>2012</v>
      </c>
      <c r="B5">
        <v>2024</v>
      </c>
      <c r="C5">
        <v>9</v>
      </c>
      <c r="D5" t="s">
        <v>19</v>
      </c>
      <c r="E5" t="s">
        <v>12</v>
      </c>
      <c r="F5" t="s">
        <v>13</v>
      </c>
      <c r="G5" t="s">
        <v>54</v>
      </c>
      <c r="H5" t="s">
        <v>55</v>
      </c>
      <c r="I5">
        <v>176.9</v>
      </c>
      <c r="J5">
        <v>-1.34</v>
      </c>
      <c r="K5" t="s">
        <v>16</v>
      </c>
    </row>
    <row r="6" spans="1:11" x14ac:dyDescent="0.25">
      <c r="A6">
        <v>2012</v>
      </c>
      <c r="B6">
        <v>2024</v>
      </c>
      <c r="C6">
        <v>8</v>
      </c>
      <c r="D6" t="s">
        <v>20</v>
      </c>
      <c r="E6" t="s">
        <v>12</v>
      </c>
      <c r="F6" t="s">
        <v>13</v>
      </c>
      <c r="G6" t="s">
        <v>54</v>
      </c>
      <c r="H6" t="s">
        <v>55</v>
      </c>
      <c r="I6">
        <v>176.7</v>
      </c>
      <c r="J6">
        <v>-5.25</v>
      </c>
      <c r="K6" t="s">
        <v>16</v>
      </c>
    </row>
    <row r="7" spans="1:11" x14ac:dyDescent="0.25">
      <c r="A7">
        <v>2012</v>
      </c>
      <c r="B7">
        <v>2024</v>
      </c>
      <c r="C7">
        <v>7</v>
      </c>
      <c r="D7" t="s">
        <v>21</v>
      </c>
      <c r="E7" t="s">
        <v>12</v>
      </c>
      <c r="F7" t="s">
        <v>13</v>
      </c>
      <c r="G7" t="s">
        <v>54</v>
      </c>
      <c r="H7" t="s">
        <v>55</v>
      </c>
      <c r="I7">
        <v>176</v>
      </c>
      <c r="J7">
        <v>-5.48</v>
      </c>
      <c r="K7" t="s">
        <v>16</v>
      </c>
    </row>
    <row r="8" spans="1:11" x14ac:dyDescent="0.25">
      <c r="A8">
        <v>2012</v>
      </c>
      <c r="B8">
        <v>2024</v>
      </c>
      <c r="C8">
        <v>6</v>
      </c>
      <c r="D8" t="s">
        <v>22</v>
      </c>
      <c r="E8" t="s">
        <v>12</v>
      </c>
      <c r="F8" t="s">
        <v>13</v>
      </c>
      <c r="G8" t="s">
        <v>54</v>
      </c>
      <c r="H8" t="s">
        <v>55</v>
      </c>
      <c r="I8">
        <v>176.3</v>
      </c>
      <c r="J8">
        <v>-3.61</v>
      </c>
      <c r="K8" t="s">
        <v>16</v>
      </c>
    </row>
    <row r="9" spans="1:11" x14ac:dyDescent="0.25">
      <c r="A9">
        <v>2012</v>
      </c>
      <c r="B9">
        <v>2024</v>
      </c>
      <c r="C9">
        <v>5</v>
      </c>
      <c r="D9" t="s">
        <v>23</v>
      </c>
      <c r="E9" t="s">
        <v>12</v>
      </c>
      <c r="F9" t="s">
        <v>13</v>
      </c>
      <c r="G9" t="s">
        <v>54</v>
      </c>
      <c r="H9" t="s">
        <v>55</v>
      </c>
      <c r="I9">
        <v>176.1</v>
      </c>
      <c r="J9">
        <v>-3.67</v>
      </c>
      <c r="K9" t="s">
        <v>16</v>
      </c>
    </row>
    <row r="10" spans="1:11" x14ac:dyDescent="0.25">
      <c r="A10">
        <v>2012</v>
      </c>
      <c r="B10">
        <v>2024</v>
      </c>
      <c r="C10">
        <v>4</v>
      </c>
      <c r="D10" t="s">
        <v>24</v>
      </c>
      <c r="E10" t="s">
        <v>12</v>
      </c>
      <c r="F10" t="s">
        <v>13</v>
      </c>
      <c r="G10" t="s">
        <v>54</v>
      </c>
      <c r="H10" t="s">
        <v>55</v>
      </c>
      <c r="I10">
        <v>174.4</v>
      </c>
      <c r="J10">
        <v>-4.0199999999999996</v>
      </c>
      <c r="K10" t="s">
        <v>16</v>
      </c>
    </row>
    <row r="11" spans="1:11" x14ac:dyDescent="0.25">
      <c r="A11">
        <v>2012</v>
      </c>
      <c r="B11">
        <v>2024</v>
      </c>
      <c r="C11">
        <v>3</v>
      </c>
      <c r="D11" t="s">
        <v>25</v>
      </c>
      <c r="E11" t="s">
        <v>12</v>
      </c>
      <c r="F11" t="s">
        <v>13</v>
      </c>
      <c r="G11" t="s">
        <v>54</v>
      </c>
      <c r="H11" t="s">
        <v>55</v>
      </c>
      <c r="I11">
        <v>175.8</v>
      </c>
      <c r="J11">
        <v>-3.35</v>
      </c>
      <c r="K11" t="s">
        <v>16</v>
      </c>
    </row>
    <row r="12" spans="1:11" x14ac:dyDescent="0.25">
      <c r="A12">
        <v>2012</v>
      </c>
      <c r="B12">
        <v>2024</v>
      </c>
      <c r="C12">
        <v>2</v>
      </c>
      <c r="D12" t="s">
        <v>26</v>
      </c>
      <c r="E12" t="s">
        <v>12</v>
      </c>
      <c r="F12" t="s">
        <v>13</v>
      </c>
      <c r="G12" t="s">
        <v>54</v>
      </c>
      <c r="H12" t="s">
        <v>55</v>
      </c>
      <c r="I12">
        <v>180.7</v>
      </c>
      <c r="J12">
        <v>-0.77</v>
      </c>
      <c r="K12" t="s">
        <v>16</v>
      </c>
    </row>
    <row r="13" spans="1:11" x14ac:dyDescent="0.25">
      <c r="A13">
        <v>2012</v>
      </c>
      <c r="B13">
        <v>2024</v>
      </c>
      <c r="C13">
        <v>1</v>
      </c>
      <c r="D13" t="s">
        <v>27</v>
      </c>
      <c r="E13" t="s">
        <v>12</v>
      </c>
      <c r="F13" t="s">
        <v>13</v>
      </c>
      <c r="G13" t="s">
        <v>54</v>
      </c>
      <c r="H13" t="s">
        <v>55</v>
      </c>
      <c r="I13">
        <v>180.9</v>
      </c>
      <c r="J13">
        <v>-0.6</v>
      </c>
      <c r="K13" t="s">
        <v>16</v>
      </c>
    </row>
    <row r="14" spans="1:11" x14ac:dyDescent="0.25">
      <c r="A14">
        <v>2012</v>
      </c>
      <c r="B14">
        <v>2023</v>
      </c>
      <c r="C14">
        <v>12</v>
      </c>
      <c r="D14" t="s">
        <v>11</v>
      </c>
      <c r="E14" t="s">
        <v>12</v>
      </c>
      <c r="F14" t="s">
        <v>13</v>
      </c>
      <c r="G14" t="s">
        <v>54</v>
      </c>
      <c r="H14" t="s">
        <v>55</v>
      </c>
      <c r="I14">
        <v>180.2</v>
      </c>
      <c r="J14">
        <v>-0.99</v>
      </c>
      <c r="K14" t="s">
        <v>16</v>
      </c>
    </row>
    <row r="15" spans="1:11" x14ac:dyDescent="0.25">
      <c r="A15">
        <v>2012</v>
      </c>
      <c r="B15">
        <v>2023</v>
      </c>
      <c r="C15">
        <v>11</v>
      </c>
      <c r="D15" t="s">
        <v>17</v>
      </c>
      <c r="E15" t="s">
        <v>12</v>
      </c>
      <c r="F15" t="s">
        <v>13</v>
      </c>
      <c r="G15" t="s">
        <v>54</v>
      </c>
      <c r="H15" t="s">
        <v>55</v>
      </c>
      <c r="I15">
        <v>179.9</v>
      </c>
      <c r="J15">
        <v>-0.77</v>
      </c>
      <c r="K15" t="s">
        <v>16</v>
      </c>
    </row>
    <row r="16" spans="1:11" x14ac:dyDescent="0.25">
      <c r="A16">
        <v>2012</v>
      </c>
      <c r="B16">
        <v>2023</v>
      </c>
      <c r="C16">
        <v>10</v>
      </c>
      <c r="D16" t="s">
        <v>18</v>
      </c>
      <c r="E16" t="s">
        <v>12</v>
      </c>
      <c r="F16" t="s">
        <v>13</v>
      </c>
      <c r="G16" t="s">
        <v>54</v>
      </c>
      <c r="H16" t="s">
        <v>55</v>
      </c>
      <c r="I16">
        <v>179.8</v>
      </c>
      <c r="J16">
        <v>-0.39</v>
      </c>
      <c r="K16" t="s">
        <v>16</v>
      </c>
    </row>
    <row r="17" spans="1:11" x14ac:dyDescent="0.25">
      <c r="A17">
        <v>2012</v>
      </c>
      <c r="B17">
        <v>2023</v>
      </c>
      <c r="C17">
        <v>9</v>
      </c>
      <c r="D17" t="s">
        <v>19</v>
      </c>
      <c r="E17" t="s">
        <v>12</v>
      </c>
      <c r="F17" t="s">
        <v>13</v>
      </c>
      <c r="G17" t="s">
        <v>54</v>
      </c>
      <c r="H17" t="s">
        <v>55</v>
      </c>
      <c r="I17">
        <v>179.3</v>
      </c>
      <c r="J17">
        <v>-0.11</v>
      </c>
      <c r="K17" t="s">
        <v>16</v>
      </c>
    </row>
    <row r="18" spans="1:11" x14ac:dyDescent="0.25">
      <c r="A18">
        <v>2012</v>
      </c>
      <c r="B18">
        <v>2023</v>
      </c>
      <c r="C18">
        <v>8</v>
      </c>
      <c r="D18" t="s">
        <v>20</v>
      </c>
      <c r="E18" t="s">
        <v>12</v>
      </c>
      <c r="F18" t="s">
        <v>13</v>
      </c>
      <c r="G18" t="s">
        <v>54</v>
      </c>
      <c r="H18" t="s">
        <v>55</v>
      </c>
      <c r="I18">
        <v>186.5</v>
      </c>
      <c r="J18">
        <v>4.3099999999999996</v>
      </c>
      <c r="K18" t="s">
        <v>16</v>
      </c>
    </row>
    <row r="19" spans="1:11" x14ac:dyDescent="0.25">
      <c r="A19">
        <v>2012</v>
      </c>
      <c r="B19">
        <v>2023</v>
      </c>
      <c r="C19">
        <v>7</v>
      </c>
      <c r="D19" t="s">
        <v>21</v>
      </c>
      <c r="E19" t="s">
        <v>12</v>
      </c>
      <c r="F19" t="s">
        <v>13</v>
      </c>
      <c r="G19" t="s">
        <v>54</v>
      </c>
      <c r="H19" t="s">
        <v>55</v>
      </c>
      <c r="I19">
        <v>186.2</v>
      </c>
      <c r="J19">
        <v>3.67</v>
      </c>
      <c r="K19" t="s">
        <v>16</v>
      </c>
    </row>
    <row r="20" spans="1:11" x14ac:dyDescent="0.25">
      <c r="A20">
        <v>2012</v>
      </c>
      <c r="B20">
        <v>2023</v>
      </c>
      <c r="C20">
        <v>6</v>
      </c>
      <c r="D20" t="s">
        <v>22</v>
      </c>
      <c r="E20" t="s">
        <v>12</v>
      </c>
      <c r="F20" t="s">
        <v>13</v>
      </c>
      <c r="G20" t="s">
        <v>54</v>
      </c>
      <c r="H20" t="s">
        <v>55</v>
      </c>
      <c r="I20">
        <v>182.9</v>
      </c>
      <c r="J20">
        <v>3.92</v>
      </c>
      <c r="K20" t="s">
        <v>16</v>
      </c>
    </row>
    <row r="21" spans="1:11" x14ac:dyDescent="0.25">
      <c r="A21">
        <v>2012</v>
      </c>
      <c r="B21">
        <v>2023</v>
      </c>
      <c r="C21">
        <v>5</v>
      </c>
      <c r="D21" t="s">
        <v>23</v>
      </c>
      <c r="E21" t="s">
        <v>12</v>
      </c>
      <c r="F21" t="s">
        <v>13</v>
      </c>
      <c r="G21" t="s">
        <v>54</v>
      </c>
      <c r="H21" t="s">
        <v>55</v>
      </c>
      <c r="I21">
        <v>182.8</v>
      </c>
      <c r="J21">
        <v>4.7</v>
      </c>
      <c r="K21" t="s">
        <v>16</v>
      </c>
    </row>
    <row r="22" spans="1:11" x14ac:dyDescent="0.25">
      <c r="A22">
        <v>2012</v>
      </c>
      <c r="B22">
        <v>2023</v>
      </c>
      <c r="C22">
        <v>4</v>
      </c>
      <c r="D22" t="s">
        <v>24</v>
      </c>
      <c r="E22" t="s">
        <v>12</v>
      </c>
      <c r="F22" t="s">
        <v>13</v>
      </c>
      <c r="G22" t="s">
        <v>54</v>
      </c>
      <c r="H22" t="s">
        <v>55</v>
      </c>
      <c r="I22">
        <v>181.7</v>
      </c>
      <c r="J22">
        <v>5.52</v>
      </c>
      <c r="K22" t="s">
        <v>16</v>
      </c>
    </row>
    <row r="23" spans="1:11" x14ac:dyDescent="0.25">
      <c r="A23">
        <v>2012</v>
      </c>
      <c r="B23">
        <v>2023</v>
      </c>
      <c r="C23">
        <v>3</v>
      </c>
      <c r="D23" t="s">
        <v>25</v>
      </c>
      <c r="E23" t="s">
        <v>12</v>
      </c>
      <c r="F23" t="s">
        <v>13</v>
      </c>
      <c r="G23" t="s">
        <v>54</v>
      </c>
      <c r="H23" t="s">
        <v>55</v>
      </c>
      <c r="I23">
        <v>181.9</v>
      </c>
      <c r="J23">
        <v>8.7899999999999991</v>
      </c>
      <c r="K23" t="s">
        <v>16</v>
      </c>
    </row>
    <row r="24" spans="1:11" x14ac:dyDescent="0.25">
      <c r="A24">
        <v>2012</v>
      </c>
      <c r="B24">
        <v>2023</v>
      </c>
      <c r="C24">
        <v>2</v>
      </c>
      <c r="D24" t="s">
        <v>26</v>
      </c>
      <c r="E24" t="s">
        <v>12</v>
      </c>
      <c r="F24" t="s">
        <v>13</v>
      </c>
      <c r="G24" t="s">
        <v>54</v>
      </c>
      <c r="H24" t="s">
        <v>55</v>
      </c>
      <c r="I24">
        <v>182.1</v>
      </c>
      <c r="J24">
        <v>9.9</v>
      </c>
      <c r="K24" t="s">
        <v>16</v>
      </c>
    </row>
    <row r="25" spans="1:11" x14ac:dyDescent="0.25">
      <c r="A25">
        <v>2012</v>
      </c>
      <c r="B25">
        <v>2023</v>
      </c>
      <c r="C25">
        <v>1</v>
      </c>
      <c r="D25" t="s">
        <v>27</v>
      </c>
      <c r="E25" t="s">
        <v>12</v>
      </c>
      <c r="F25" t="s">
        <v>13</v>
      </c>
      <c r="G25" t="s">
        <v>54</v>
      </c>
      <c r="H25" t="s">
        <v>55</v>
      </c>
      <c r="I25">
        <v>182</v>
      </c>
      <c r="J25">
        <v>10.84</v>
      </c>
      <c r="K25" t="s">
        <v>16</v>
      </c>
    </row>
    <row r="26" spans="1:11" x14ac:dyDescent="0.25">
      <c r="A26">
        <v>2012</v>
      </c>
      <c r="B26">
        <v>2022</v>
      </c>
      <c r="C26">
        <v>12</v>
      </c>
      <c r="D26" t="s">
        <v>11</v>
      </c>
      <c r="E26" t="s">
        <v>12</v>
      </c>
      <c r="F26" t="s">
        <v>13</v>
      </c>
      <c r="G26" t="s">
        <v>54</v>
      </c>
      <c r="H26" t="s">
        <v>55</v>
      </c>
      <c r="I26">
        <v>182</v>
      </c>
      <c r="J26">
        <v>10.91</v>
      </c>
      <c r="K26" t="s">
        <v>16</v>
      </c>
    </row>
    <row r="27" spans="1:11" x14ac:dyDescent="0.25">
      <c r="A27">
        <v>2012</v>
      </c>
      <c r="B27">
        <v>2022</v>
      </c>
      <c r="C27">
        <v>11</v>
      </c>
      <c r="D27" t="s">
        <v>17</v>
      </c>
      <c r="E27" t="s">
        <v>12</v>
      </c>
      <c r="F27" t="s">
        <v>13</v>
      </c>
      <c r="G27" t="s">
        <v>54</v>
      </c>
      <c r="H27" t="s">
        <v>55</v>
      </c>
      <c r="I27">
        <v>181.3</v>
      </c>
      <c r="J27">
        <v>10.62</v>
      </c>
      <c r="K27" t="s">
        <v>16</v>
      </c>
    </row>
    <row r="28" spans="1:11" x14ac:dyDescent="0.25">
      <c r="A28">
        <v>2012</v>
      </c>
      <c r="B28">
        <v>2022</v>
      </c>
      <c r="C28">
        <v>10</v>
      </c>
      <c r="D28" t="s">
        <v>18</v>
      </c>
      <c r="E28" t="s">
        <v>12</v>
      </c>
      <c r="F28" t="s">
        <v>13</v>
      </c>
      <c r="G28" t="s">
        <v>54</v>
      </c>
      <c r="H28" t="s">
        <v>55</v>
      </c>
      <c r="I28">
        <v>180.5</v>
      </c>
      <c r="J28">
        <v>9.93</v>
      </c>
      <c r="K28" t="s">
        <v>16</v>
      </c>
    </row>
    <row r="29" spans="1:11" x14ac:dyDescent="0.25">
      <c r="A29">
        <v>2012</v>
      </c>
      <c r="B29">
        <v>2022</v>
      </c>
      <c r="C29">
        <v>9</v>
      </c>
      <c r="D29" t="s">
        <v>19</v>
      </c>
      <c r="E29" t="s">
        <v>12</v>
      </c>
      <c r="F29" t="s">
        <v>13</v>
      </c>
      <c r="G29" t="s">
        <v>54</v>
      </c>
      <c r="H29" t="s">
        <v>55</v>
      </c>
      <c r="I29">
        <v>179.5</v>
      </c>
      <c r="J29">
        <v>10.39</v>
      </c>
      <c r="K29" t="s">
        <v>16</v>
      </c>
    </row>
    <row r="30" spans="1:11" x14ac:dyDescent="0.25">
      <c r="A30">
        <v>2012</v>
      </c>
      <c r="B30">
        <v>2022</v>
      </c>
      <c r="C30">
        <v>8</v>
      </c>
      <c r="D30" t="s">
        <v>20</v>
      </c>
      <c r="E30" t="s">
        <v>12</v>
      </c>
      <c r="F30" t="s">
        <v>13</v>
      </c>
      <c r="G30" t="s">
        <v>54</v>
      </c>
      <c r="H30" t="s">
        <v>55</v>
      </c>
      <c r="I30">
        <v>178.8</v>
      </c>
      <c r="J30">
        <v>10.78</v>
      </c>
      <c r="K30" t="s">
        <v>16</v>
      </c>
    </row>
    <row r="31" spans="1:11" x14ac:dyDescent="0.25">
      <c r="A31">
        <v>2012</v>
      </c>
      <c r="B31">
        <v>2022</v>
      </c>
      <c r="C31">
        <v>7</v>
      </c>
      <c r="D31" t="s">
        <v>21</v>
      </c>
      <c r="E31" t="s">
        <v>12</v>
      </c>
      <c r="F31" t="s">
        <v>13</v>
      </c>
      <c r="G31" t="s">
        <v>54</v>
      </c>
      <c r="H31" t="s">
        <v>55</v>
      </c>
      <c r="I31">
        <v>179.6</v>
      </c>
      <c r="J31">
        <v>11.76</v>
      </c>
      <c r="K31" t="s">
        <v>16</v>
      </c>
    </row>
    <row r="32" spans="1:11" x14ac:dyDescent="0.25">
      <c r="A32">
        <v>2012</v>
      </c>
      <c r="B32">
        <v>2022</v>
      </c>
      <c r="C32">
        <v>6</v>
      </c>
      <c r="D32" t="s">
        <v>22</v>
      </c>
      <c r="E32" t="s">
        <v>12</v>
      </c>
      <c r="F32" t="s">
        <v>13</v>
      </c>
      <c r="G32" t="s">
        <v>54</v>
      </c>
      <c r="H32" t="s">
        <v>55</v>
      </c>
      <c r="I32">
        <v>176</v>
      </c>
      <c r="J32">
        <v>10.14</v>
      </c>
      <c r="K32" t="s">
        <v>16</v>
      </c>
    </row>
    <row r="33" spans="1:11" x14ac:dyDescent="0.25">
      <c r="A33">
        <v>2012</v>
      </c>
      <c r="B33">
        <v>2022</v>
      </c>
      <c r="C33">
        <v>5</v>
      </c>
      <c r="D33" t="s">
        <v>23</v>
      </c>
      <c r="E33" t="s">
        <v>12</v>
      </c>
      <c r="F33" t="s">
        <v>13</v>
      </c>
      <c r="G33" t="s">
        <v>54</v>
      </c>
      <c r="H33" t="s">
        <v>55</v>
      </c>
      <c r="I33">
        <v>174.6</v>
      </c>
      <c r="J33">
        <v>9.5399999999999991</v>
      </c>
      <c r="K33" t="s">
        <v>16</v>
      </c>
    </row>
    <row r="34" spans="1:11" x14ac:dyDescent="0.25">
      <c r="A34">
        <v>2012</v>
      </c>
      <c r="B34">
        <v>2022</v>
      </c>
      <c r="C34">
        <v>4</v>
      </c>
      <c r="D34" t="s">
        <v>24</v>
      </c>
      <c r="E34" t="s">
        <v>12</v>
      </c>
      <c r="F34" t="s">
        <v>13</v>
      </c>
      <c r="G34" t="s">
        <v>54</v>
      </c>
      <c r="H34" t="s">
        <v>55</v>
      </c>
      <c r="I34">
        <v>172.2</v>
      </c>
      <c r="J34">
        <v>10.67</v>
      </c>
      <c r="K34" t="s">
        <v>16</v>
      </c>
    </row>
    <row r="35" spans="1:11" x14ac:dyDescent="0.25">
      <c r="A35">
        <v>2012</v>
      </c>
      <c r="B35">
        <v>2022</v>
      </c>
      <c r="C35">
        <v>3</v>
      </c>
      <c r="D35" t="s">
        <v>25</v>
      </c>
      <c r="E35" t="s">
        <v>12</v>
      </c>
      <c r="F35" t="s">
        <v>13</v>
      </c>
      <c r="G35" t="s">
        <v>54</v>
      </c>
      <c r="H35" t="s">
        <v>55</v>
      </c>
      <c r="I35">
        <v>167.2</v>
      </c>
      <c r="J35">
        <v>7.52</v>
      </c>
      <c r="K35" t="s">
        <v>16</v>
      </c>
    </row>
    <row r="36" spans="1:11" x14ac:dyDescent="0.25">
      <c r="A36">
        <v>2012</v>
      </c>
      <c r="B36">
        <v>2022</v>
      </c>
      <c r="C36">
        <v>2</v>
      </c>
      <c r="D36" t="s">
        <v>26</v>
      </c>
      <c r="E36" t="s">
        <v>12</v>
      </c>
      <c r="F36" t="s">
        <v>13</v>
      </c>
      <c r="G36" t="s">
        <v>54</v>
      </c>
      <c r="H36" t="s">
        <v>55</v>
      </c>
      <c r="I36">
        <v>165.7</v>
      </c>
      <c r="J36">
        <v>8.73</v>
      </c>
      <c r="K36" t="s">
        <v>16</v>
      </c>
    </row>
    <row r="37" spans="1:11" x14ac:dyDescent="0.25">
      <c r="A37">
        <v>2012</v>
      </c>
      <c r="B37">
        <v>2022</v>
      </c>
      <c r="C37">
        <v>1</v>
      </c>
      <c r="D37" t="s">
        <v>27</v>
      </c>
      <c r="E37" t="s">
        <v>12</v>
      </c>
      <c r="F37" t="s">
        <v>13</v>
      </c>
      <c r="G37" t="s">
        <v>54</v>
      </c>
      <c r="H37" t="s">
        <v>55</v>
      </c>
      <c r="I37">
        <v>164.2</v>
      </c>
      <c r="J37">
        <v>9.32</v>
      </c>
      <c r="K37" t="s">
        <v>16</v>
      </c>
    </row>
    <row r="38" spans="1:11" x14ac:dyDescent="0.25">
      <c r="A38">
        <v>2012</v>
      </c>
      <c r="B38">
        <v>2021</v>
      </c>
      <c r="C38">
        <v>12</v>
      </c>
      <c r="D38" t="s">
        <v>11</v>
      </c>
      <c r="E38" t="s">
        <v>12</v>
      </c>
      <c r="F38" t="s">
        <v>13</v>
      </c>
      <c r="G38" t="s">
        <v>54</v>
      </c>
      <c r="H38" t="s">
        <v>55</v>
      </c>
      <c r="I38">
        <v>164.1</v>
      </c>
      <c r="J38">
        <v>10.95</v>
      </c>
      <c r="K38" t="s">
        <v>16</v>
      </c>
    </row>
    <row r="39" spans="1:11" x14ac:dyDescent="0.25">
      <c r="A39">
        <v>2012</v>
      </c>
      <c r="B39">
        <v>2021</v>
      </c>
      <c r="C39">
        <v>11</v>
      </c>
      <c r="D39" t="s">
        <v>17</v>
      </c>
      <c r="E39" t="s">
        <v>12</v>
      </c>
      <c r="F39" t="s">
        <v>13</v>
      </c>
      <c r="G39" t="s">
        <v>54</v>
      </c>
      <c r="H39" t="s">
        <v>55</v>
      </c>
      <c r="I39">
        <v>163.9</v>
      </c>
      <c r="J39">
        <v>13.35</v>
      </c>
      <c r="K39" t="s">
        <v>16</v>
      </c>
    </row>
    <row r="40" spans="1:11" x14ac:dyDescent="0.25">
      <c r="A40">
        <v>2012</v>
      </c>
      <c r="B40">
        <v>2021</v>
      </c>
      <c r="C40">
        <v>10</v>
      </c>
      <c r="D40" t="s">
        <v>18</v>
      </c>
      <c r="E40" t="s">
        <v>12</v>
      </c>
      <c r="F40" t="s">
        <v>13</v>
      </c>
      <c r="G40" t="s">
        <v>54</v>
      </c>
      <c r="H40" t="s">
        <v>55</v>
      </c>
      <c r="I40">
        <v>164.2</v>
      </c>
      <c r="J40">
        <v>14.35</v>
      </c>
      <c r="K40" t="s">
        <v>16</v>
      </c>
    </row>
    <row r="41" spans="1:11" x14ac:dyDescent="0.25">
      <c r="A41">
        <v>2012</v>
      </c>
      <c r="B41">
        <v>2021</v>
      </c>
      <c r="C41">
        <v>9</v>
      </c>
      <c r="D41" t="s">
        <v>19</v>
      </c>
      <c r="E41" t="s">
        <v>12</v>
      </c>
      <c r="F41" t="s">
        <v>13</v>
      </c>
      <c r="G41" t="s">
        <v>54</v>
      </c>
      <c r="H41" t="s">
        <v>55</v>
      </c>
      <c r="I41">
        <v>162.6</v>
      </c>
      <c r="J41">
        <v>13.63</v>
      </c>
      <c r="K41" t="s">
        <v>16</v>
      </c>
    </row>
    <row r="42" spans="1:11" x14ac:dyDescent="0.25">
      <c r="A42">
        <v>2012</v>
      </c>
      <c r="B42">
        <v>2021</v>
      </c>
      <c r="C42">
        <v>8</v>
      </c>
      <c r="D42" t="s">
        <v>20</v>
      </c>
      <c r="E42" t="s">
        <v>12</v>
      </c>
      <c r="F42" t="s">
        <v>13</v>
      </c>
      <c r="G42" t="s">
        <v>54</v>
      </c>
      <c r="H42" t="s">
        <v>55</v>
      </c>
      <c r="I42">
        <v>161.4</v>
      </c>
      <c r="J42">
        <v>12.95</v>
      </c>
      <c r="K42" t="s">
        <v>16</v>
      </c>
    </row>
    <row r="43" spans="1:11" x14ac:dyDescent="0.25">
      <c r="A43">
        <v>2012</v>
      </c>
      <c r="B43">
        <v>2021</v>
      </c>
      <c r="C43">
        <v>7</v>
      </c>
      <c r="D43" t="s">
        <v>21</v>
      </c>
      <c r="E43" t="s">
        <v>12</v>
      </c>
      <c r="F43" t="s">
        <v>13</v>
      </c>
      <c r="G43" t="s">
        <v>54</v>
      </c>
      <c r="H43" t="s">
        <v>55</v>
      </c>
      <c r="I43">
        <v>160.69999999999999</v>
      </c>
      <c r="J43">
        <v>12.38</v>
      </c>
      <c r="K43" t="s">
        <v>16</v>
      </c>
    </row>
    <row r="44" spans="1:11" x14ac:dyDescent="0.25">
      <c r="A44">
        <v>2012</v>
      </c>
      <c r="B44">
        <v>2021</v>
      </c>
      <c r="C44">
        <v>6</v>
      </c>
      <c r="D44" t="s">
        <v>22</v>
      </c>
      <c r="E44" t="s">
        <v>12</v>
      </c>
      <c r="F44" t="s">
        <v>13</v>
      </c>
      <c r="G44" t="s">
        <v>54</v>
      </c>
      <c r="H44" t="s">
        <v>55</v>
      </c>
      <c r="I44">
        <v>159.80000000000001</v>
      </c>
      <c r="J44">
        <v>12.61</v>
      </c>
      <c r="K44" t="s">
        <v>16</v>
      </c>
    </row>
    <row r="45" spans="1:11" x14ac:dyDescent="0.25">
      <c r="A45">
        <v>2012</v>
      </c>
      <c r="B45">
        <v>2021</v>
      </c>
      <c r="C45">
        <v>5</v>
      </c>
      <c r="D45" t="s">
        <v>23</v>
      </c>
      <c r="E45" t="s">
        <v>12</v>
      </c>
      <c r="F45" t="s">
        <v>13</v>
      </c>
      <c r="G45" t="s">
        <v>54</v>
      </c>
      <c r="H45" t="s">
        <v>55</v>
      </c>
      <c r="I45">
        <v>159.4</v>
      </c>
      <c r="J45">
        <v>11.86</v>
      </c>
      <c r="K45" t="s">
        <v>16</v>
      </c>
    </row>
    <row r="46" spans="1:11" x14ac:dyDescent="0.25">
      <c r="A46">
        <v>2012</v>
      </c>
      <c r="B46">
        <v>2021</v>
      </c>
      <c r="C46">
        <v>4</v>
      </c>
      <c r="D46" t="s">
        <v>24</v>
      </c>
      <c r="E46" t="s">
        <v>12</v>
      </c>
      <c r="F46" t="s">
        <v>13</v>
      </c>
      <c r="G46" t="s">
        <v>54</v>
      </c>
      <c r="H46" t="s">
        <v>55</v>
      </c>
      <c r="I46">
        <v>155.6</v>
      </c>
      <c r="J46">
        <v>7.98</v>
      </c>
      <c r="K46" t="s">
        <v>16</v>
      </c>
    </row>
    <row r="47" spans="1:11" x14ac:dyDescent="0.25">
      <c r="A47">
        <v>2012</v>
      </c>
      <c r="B47">
        <v>2021</v>
      </c>
      <c r="C47">
        <v>3</v>
      </c>
      <c r="D47" t="s">
        <v>25</v>
      </c>
      <c r="E47" t="s">
        <v>12</v>
      </c>
      <c r="F47" t="s">
        <v>13</v>
      </c>
      <c r="G47" t="s">
        <v>54</v>
      </c>
      <c r="H47" t="s">
        <v>55</v>
      </c>
      <c r="I47">
        <v>155.5</v>
      </c>
      <c r="J47">
        <v>4.43</v>
      </c>
      <c r="K47" t="s">
        <v>16</v>
      </c>
    </row>
    <row r="48" spans="1:11" x14ac:dyDescent="0.25">
      <c r="A48">
        <v>2012</v>
      </c>
      <c r="B48">
        <v>2021</v>
      </c>
      <c r="C48">
        <v>2</v>
      </c>
      <c r="D48" t="s">
        <v>26</v>
      </c>
      <c r="E48" t="s">
        <v>12</v>
      </c>
      <c r="F48" t="s">
        <v>13</v>
      </c>
      <c r="G48" t="s">
        <v>54</v>
      </c>
      <c r="H48" t="s">
        <v>55</v>
      </c>
      <c r="I48">
        <v>152.4</v>
      </c>
      <c r="J48">
        <v>3.53</v>
      </c>
      <c r="K48" t="s">
        <v>16</v>
      </c>
    </row>
    <row r="49" spans="1:11" x14ac:dyDescent="0.25">
      <c r="A49">
        <v>2012</v>
      </c>
      <c r="B49">
        <v>2021</v>
      </c>
      <c r="C49">
        <v>1</v>
      </c>
      <c r="D49" t="s">
        <v>27</v>
      </c>
      <c r="E49" t="s">
        <v>12</v>
      </c>
      <c r="F49" t="s">
        <v>13</v>
      </c>
      <c r="G49" t="s">
        <v>54</v>
      </c>
      <c r="H49" t="s">
        <v>55</v>
      </c>
      <c r="I49">
        <v>150.19999999999999</v>
      </c>
      <c r="J49">
        <v>3.87</v>
      </c>
      <c r="K49" t="s">
        <v>16</v>
      </c>
    </row>
    <row r="50" spans="1:11" x14ac:dyDescent="0.25">
      <c r="A50">
        <v>2012</v>
      </c>
      <c r="B50">
        <v>2020</v>
      </c>
      <c r="C50">
        <v>12</v>
      </c>
      <c r="D50" t="s">
        <v>11</v>
      </c>
      <c r="E50" t="s">
        <v>12</v>
      </c>
      <c r="F50" t="s">
        <v>13</v>
      </c>
      <c r="G50" t="s">
        <v>54</v>
      </c>
      <c r="H50" t="s">
        <v>55</v>
      </c>
      <c r="I50">
        <v>147.9</v>
      </c>
      <c r="J50">
        <v>2.92</v>
      </c>
      <c r="K50" t="s">
        <v>16</v>
      </c>
    </row>
    <row r="51" spans="1:11" x14ac:dyDescent="0.25">
      <c r="A51">
        <v>2012</v>
      </c>
      <c r="B51">
        <v>2020</v>
      </c>
      <c r="C51">
        <v>11</v>
      </c>
      <c r="D51" t="s">
        <v>17</v>
      </c>
      <c r="E51" t="s">
        <v>12</v>
      </c>
      <c r="F51" t="s">
        <v>13</v>
      </c>
      <c r="G51" t="s">
        <v>54</v>
      </c>
      <c r="H51" t="s">
        <v>55</v>
      </c>
      <c r="I51">
        <v>144.6</v>
      </c>
      <c r="J51">
        <v>1.62</v>
      </c>
      <c r="K51" t="s">
        <v>16</v>
      </c>
    </row>
    <row r="52" spans="1:11" x14ac:dyDescent="0.25">
      <c r="A52">
        <v>2012</v>
      </c>
      <c r="B52">
        <v>2020</v>
      </c>
      <c r="C52">
        <v>10</v>
      </c>
      <c r="D52" t="s">
        <v>18</v>
      </c>
      <c r="E52" t="s">
        <v>12</v>
      </c>
      <c r="F52" t="s">
        <v>13</v>
      </c>
      <c r="G52" t="s">
        <v>54</v>
      </c>
      <c r="H52" t="s">
        <v>55</v>
      </c>
      <c r="I52">
        <v>143.6</v>
      </c>
      <c r="J52">
        <v>2.13</v>
      </c>
      <c r="K52" t="s">
        <v>16</v>
      </c>
    </row>
    <row r="53" spans="1:11" x14ac:dyDescent="0.25">
      <c r="A53">
        <v>2012</v>
      </c>
      <c r="B53">
        <v>2020</v>
      </c>
      <c r="C53">
        <v>9</v>
      </c>
      <c r="D53" t="s">
        <v>19</v>
      </c>
      <c r="E53" t="s">
        <v>12</v>
      </c>
      <c r="F53" t="s">
        <v>13</v>
      </c>
      <c r="G53" t="s">
        <v>54</v>
      </c>
      <c r="H53" t="s">
        <v>55</v>
      </c>
      <c r="I53">
        <v>143.1</v>
      </c>
      <c r="J53">
        <v>2.8</v>
      </c>
      <c r="K53" t="s">
        <v>16</v>
      </c>
    </row>
    <row r="54" spans="1:11" x14ac:dyDescent="0.25">
      <c r="A54">
        <v>2012</v>
      </c>
      <c r="B54">
        <v>2020</v>
      </c>
      <c r="C54">
        <v>8</v>
      </c>
      <c r="D54" t="s">
        <v>20</v>
      </c>
      <c r="E54" t="s">
        <v>12</v>
      </c>
      <c r="F54" t="s">
        <v>13</v>
      </c>
      <c r="G54" t="s">
        <v>54</v>
      </c>
      <c r="H54" t="s">
        <v>55</v>
      </c>
      <c r="I54">
        <v>142.9</v>
      </c>
      <c r="J54">
        <v>3.18</v>
      </c>
      <c r="K54" t="s">
        <v>16</v>
      </c>
    </row>
    <row r="55" spans="1:11" x14ac:dyDescent="0.25">
      <c r="A55">
        <v>2012</v>
      </c>
      <c r="B55">
        <v>2020</v>
      </c>
      <c r="C55">
        <v>7</v>
      </c>
      <c r="D55" t="s">
        <v>21</v>
      </c>
      <c r="E55" t="s">
        <v>12</v>
      </c>
      <c r="F55" t="s">
        <v>13</v>
      </c>
      <c r="G55" t="s">
        <v>54</v>
      </c>
      <c r="H55" t="s">
        <v>55</v>
      </c>
      <c r="I55">
        <v>143</v>
      </c>
      <c r="J55">
        <v>2.66</v>
      </c>
      <c r="K55" t="s">
        <v>16</v>
      </c>
    </row>
    <row r="56" spans="1:11" x14ac:dyDescent="0.25">
      <c r="A56">
        <v>2012</v>
      </c>
      <c r="B56">
        <v>2020</v>
      </c>
      <c r="C56">
        <v>6</v>
      </c>
      <c r="D56" t="s">
        <v>22</v>
      </c>
      <c r="E56" t="s">
        <v>12</v>
      </c>
      <c r="F56" t="s">
        <v>13</v>
      </c>
      <c r="G56" t="s">
        <v>54</v>
      </c>
      <c r="H56" t="s">
        <v>55</v>
      </c>
      <c r="I56">
        <v>141.9</v>
      </c>
      <c r="J56">
        <v>0.5</v>
      </c>
      <c r="K56" t="s">
        <v>16</v>
      </c>
    </row>
    <row r="57" spans="1:11" x14ac:dyDescent="0.25">
      <c r="A57">
        <v>2012</v>
      </c>
      <c r="B57">
        <v>2020</v>
      </c>
      <c r="C57">
        <v>5</v>
      </c>
      <c r="D57" t="s">
        <v>23</v>
      </c>
      <c r="E57" t="s">
        <v>12</v>
      </c>
      <c r="F57" t="s">
        <v>13</v>
      </c>
      <c r="G57" t="s">
        <v>54</v>
      </c>
      <c r="H57" t="s">
        <v>55</v>
      </c>
      <c r="I57">
        <v>142.5</v>
      </c>
      <c r="K57" t="s">
        <v>16</v>
      </c>
    </row>
    <row r="58" spans="1:11" x14ac:dyDescent="0.25">
      <c r="A58">
        <v>2012</v>
      </c>
      <c r="B58">
        <v>2020</v>
      </c>
      <c r="C58">
        <v>4</v>
      </c>
      <c r="D58" t="s">
        <v>24</v>
      </c>
      <c r="E58" t="s">
        <v>12</v>
      </c>
      <c r="F58" t="s">
        <v>13</v>
      </c>
      <c r="G58" t="s">
        <v>54</v>
      </c>
      <c r="H58" t="s">
        <v>55</v>
      </c>
      <c r="I58">
        <v>144.1</v>
      </c>
      <c r="K58" t="s">
        <v>16</v>
      </c>
    </row>
    <row r="59" spans="1:11" x14ac:dyDescent="0.25">
      <c r="A59">
        <v>2012</v>
      </c>
      <c r="B59">
        <v>2020</v>
      </c>
      <c r="C59">
        <v>3</v>
      </c>
      <c r="D59" t="s">
        <v>25</v>
      </c>
      <c r="E59" t="s">
        <v>12</v>
      </c>
      <c r="F59" t="s">
        <v>13</v>
      </c>
      <c r="G59" t="s">
        <v>54</v>
      </c>
      <c r="H59" t="s">
        <v>55</v>
      </c>
      <c r="I59">
        <v>148.9</v>
      </c>
      <c r="J59">
        <v>6.59</v>
      </c>
      <c r="K59" t="s">
        <v>16</v>
      </c>
    </row>
    <row r="60" spans="1:11" x14ac:dyDescent="0.25">
      <c r="A60">
        <v>2012</v>
      </c>
      <c r="B60">
        <v>2020</v>
      </c>
      <c r="C60">
        <v>2</v>
      </c>
      <c r="D60" t="s">
        <v>26</v>
      </c>
      <c r="E60" t="s">
        <v>12</v>
      </c>
      <c r="F60" t="s">
        <v>13</v>
      </c>
      <c r="G60" t="s">
        <v>54</v>
      </c>
      <c r="H60" t="s">
        <v>55</v>
      </c>
      <c r="I60">
        <v>147.19999999999999</v>
      </c>
      <c r="J60">
        <v>6.36</v>
      </c>
      <c r="K60" t="s">
        <v>16</v>
      </c>
    </row>
    <row r="61" spans="1:11" x14ac:dyDescent="0.25">
      <c r="A61">
        <v>2012</v>
      </c>
      <c r="B61">
        <v>2020</v>
      </c>
      <c r="C61">
        <v>1</v>
      </c>
      <c r="D61" t="s">
        <v>27</v>
      </c>
      <c r="E61" t="s">
        <v>12</v>
      </c>
      <c r="F61" t="s">
        <v>13</v>
      </c>
      <c r="G61" t="s">
        <v>54</v>
      </c>
      <c r="H61" t="s">
        <v>55</v>
      </c>
      <c r="I61">
        <v>144.6</v>
      </c>
      <c r="J61">
        <v>3.66</v>
      </c>
      <c r="K61" t="s">
        <v>16</v>
      </c>
    </row>
    <row r="62" spans="1:11" x14ac:dyDescent="0.25">
      <c r="A62">
        <v>2012</v>
      </c>
      <c r="B62">
        <v>2019</v>
      </c>
      <c r="C62">
        <v>12</v>
      </c>
      <c r="D62" t="s">
        <v>11</v>
      </c>
      <c r="E62" t="s">
        <v>12</v>
      </c>
      <c r="F62" t="s">
        <v>13</v>
      </c>
      <c r="G62" t="s">
        <v>54</v>
      </c>
      <c r="H62" t="s">
        <v>55</v>
      </c>
      <c r="I62">
        <v>143.69999999999999</v>
      </c>
      <c r="J62">
        <v>0.7</v>
      </c>
      <c r="K62" t="s">
        <v>16</v>
      </c>
    </row>
    <row r="63" spans="1:11" x14ac:dyDescent="0.25">
      <c r="A63">
        <v>2012</v>
      </c>
      <c r="B63">
        <v>2019</v>
      </c>
      <c r="C63">
        <v>11</v>
      </c>
      <c r="D63" t="s">
        <v>17</v>
      </c>
      <c r="E63" t="s">
        <v>12</v>
      </c>
      <c r="F63" t="s">
        <v>13</v>
      </c>
      <c r="G63" t="s">
        <v>54</v>
      </c>
      <c r="H63" t="s">
        <v>55</v>
      </c>
      <c r="I63">
        <v>142.30000000000001</v>
      </c>
      <c r="J63">
        <v>-1.93</v>
      </c>
      <c r="K63" t="s">
        <v>16</v>
      </c>
    </row>
    <row r="64" spans="1:11" x14ac:dyDescent="0.25">
      <c r="A64">
        <v>2012</v>
      </c>
      <c r="B64">
        <v>2019</v>
      </c>
      <c r="C64">
        <v>10</v>
      </c>
      <c r="D64" t="s">
        <v>18</v>
      </c>
      <c r="E64" t="s">
        <v>12</v>
      </c>
      <c r="F64" t="s">
        <v>13</v>
      </c>
      <c r="G64" t="s">
        <v>54</v>
      </c>
      <c r="H64" t="s">
        <v>55</v>
      </c>
      <c r="I64">
        <v>140.6</v>
      </c>
      <c r="J64">
        <v>-2.02</v>
      </c>
      <c r="K64" t="s">
        <v>16</v>
      </c>
    </row>
    <row r="65" spans="1:11" x14ac:dyDescent="0.25">
      <c r="A65">
        <v>2012</v>
      </c>
      <c r="B65">
        <v>2019</v>
      </c>
      <c r="C65">
        <v>9</v>
      </c>
      <c r="D65" t="s">
        <v>19</v>
      </c>
      <c r="E65" t="s">
        <v>12</v>
      </c>
      <c r="F65" t="s">
        <v>13</v>
      </c>
      <c r="G65" t="s">
        <v>54</v>
      </c>
      <c r="H65" t="s">
        <v>55</v>
      </c>
      <c r="I65">
        <v>139.19999999999999</v>
      </c>
      <c r="J65">
        <v>-2.1800000000000002</v>
      </c>
      <c r="K65" t="s">
        <v>16</v>
      </c>
    </row>
    <row r="66" spans="1:11" x14ac:dyDescent="0.25">
      <c r="A66">
        <v>2012</v>
      </c>
      <c r="B66">
        <v>2019</v>
      </c>
      <c r="C66">
        <v>8</v>
      </c>
      <c r="D66" t="s">
        <v>20</v>
      </c>
      <c r="E66" t="s">
        <v>12</v>
      </c>
      <c r="F66" t="s">
        <v>13</v>
      </c>
      <c r="G66" t="s">
        <v>54</v>
      </c>
      <c r="H66" t="s">
        <v>55</v>
      </c>
      <c r="I66">
        <v>138.5</v>
      </c>
      <c r="J66">
        <v>-1.7</v>
      </c>
      <c r="K66" t="s">
        <v>16</v>
      </c>
    </row>
    <row r="67" spans="1:11" x14ac:dyDescent="0.25">
      <c r="A67">
        <v>2012</v>
      </c>
      <c r="B67">
        <v>2019</v>
      </c>
      <c r="C67">
        <v>7</v>
      </c>
      <c r="D67" t="s">
        <v>21</v>
      </c>
      <c r="E67" t="s">
        <v>12</v>
      </c>
      <c r="F67" t="s">
        <v>13</v>
      </c>
      <c r="G67" t="s">
        <v>54</v>
      </c>
      <c r="H67" t="s">
        <v>55</v>
      </c>
      <c r="I67">
        <v>139.30000000000001</v>
      </c>
      <c r="J67">
        <v>-0.28999999999999998</v>
      </c>
      <c r="K67" t="s">
        <v>16</v>
      </c>
    </row>
    <row r="68" spans="1:11" x14ac:dyDescent="0.25">
      <c r="A68">
        <v>2012</v>
      </c>
      <c r="B68">
        <v>2019</v>
      </c>
      <c r="C68">
        <v>6</v>
      </c>
      <c r="D68" t="s">
        <v>22</v>
      </c>
      <c r="E68" t="s">
        <v>12</v>
      </c>
      <c r="F68" t="s">
        <v>13</v>
      </c>
      <c r="G68" t="s">
        <v>54</v>
      </c>
      <c r="H68" t="s">
        <v>55</v>
      </c>
      <c r="I68">
        <v>141.19999999999999</v>
      </c>
      <c r="J68">
        <v>2.2400000000000002</v>
      </c>
      <c r="K68" t="s">
        <v>16</v>
      </c>
    </row>
    <row r="69" spans="1:11" x14ac:dyDescent="0.25">
      <c r="A69">
        <v>2012</v>
      </c>
      <c r="B69">
        <v>2019</v>
      </c>
      <c r="C69">
        <v>5</v>
      </c>
      <c r="D69" t="s">
        <v>23</v>
      </c>
      <c r="E69" t="s">
        <v>12</v>
      </c>
      <c r="F69" t="s">
        <v>13</v>
      </c>
      <c r="G69" t="s">
        <v>54</v>
      </c>
      <c r="H69" t="s">
        <v>55</v>
      </c>
      <c r="I69">
        <v>140.30000000000001</v>
      </c>
      <c r="J69">
        <v>2.48</v>
      </c>
      <c r="K69" t="s">
        <v>16</v>
      </c>
    </row>
    <row r="70" spans="1:11" x14ac:dyDescent="0.25">
      <c r="A70">
        <v>2012</v>
      </c>
      <c r="B70">
        <v>2019</v>
      </c>
      <c r="C70">
        <v>4</v>
      </c>
      <c r="D70" t="s">
        <v>24</v>
      </c>
      <c r="E70" t="s">
        <v>12</v>
      </c>
      <c r="F70" t="s">
        <v>13</v>
      </c>
      <c r="G70" t="s">
        <v>54</v>
      </c>
      <c r="H70" t="s">
        <v>55</v>
      </c>
      <c r="I70">
        <v>140</v>
      </c>
      <c r="J70">
        <v>2.56</v>
      </c>
      <c r="K70" t="s">
        <v>16</v>
      </c>
    </row>
    <row r="71" spans="1:11" x14ac:dyDescent="0.25">
      <c r="A71">
        <v>2012</v>
      </c>
      <c r="B71">
        <v>2019</v>
      </c>
      <c r="C71">
        <v>3</v>
      </c>
      <c r="D71" t="s">
        <v>25</v>
      </c>
      <c r="E71" t="s">
        <v>12</v>
      </c>
      <c r="F71" t="s">
        <v>13</v>
      </c>
      <c r="G71" t="s">
        <v>54</v>
      </c>
      <c r="H71" t="s">
        <v>55</v>
      </c>
      <c r="I71">
        <v>139.69999999999999</v>
      </c>
      <c r="J71">
        <v>2.34</v>
      </c>
      <c r="K71" t="s">
        <v>16</v>
      </c>
    </row>
    <row r="72" spans="1:11" x14ac:dyDescent="0.25">
      <c r="A72">
        <v>2012</v>
      </c>
      <c r="B72">
        <v>2019</v>
      </c>
      <c r="C72">
        <v>2</v>
      </c>
      <c r="D72" t="s">
        <v>26</v>
      </c>
      <c r="E72" t="s">
        <v>12</v>
      </c>
      <c r="F72" t="s">
        <v>13</v>
      </c>
      <c r="G72" t="s">
        <v>54</v>
      </c>
      <c r="H72" t="s">
        <v>55</v>
      </c>
      <c r="I72">
        <v>138.4</v>
      </c>
      <c r="J72">
        <v>1.24</v>
      </c>
      <c r="K72" t="s">
        <v>16</v>
      </c>
    </row>
    <row r="73" spans="1:11" x14ac:dyDescent="0.25">
      <c r="A73">
        <v>2012</v>
      </c>
      <c r="B73">
        <v>2019</v>
      </c>
      <c r="C73">
        <v>1</v>
      </c>
      <c r="D73" t="s">
        <v>27</v>
      </c>
      <c r="E73" t="s">
        <v>12</v>
      </c>
      <c r="F73" t="s">
        <v>13</v>
      </c>
      <c r="G73" t="s">
        <v>54</v>
      </c>
      <c r="H73" t="s">
        <v>55</v>
      </c>
      <c r="I73">
        <v>139.5</v>
      </c>
      <c r="J73">
        <v>2.12</v>
      </c>
      <c r="K73" t="s">
        <v>16</v>
      </c>
    </row>
    <row r="74" spans="1:11" x14ac:dyDescent="0.25">
      <c r="A74">
        <v>2012</v>
      </c>
      <c r="B74">
        <v>2018</v>
      </c>
      <c r="C74">
        <v>12</v>
      </c>
      <c r="D74" t="s">
        <v>11</v>
      </c>
      <c r="E74" t="s">
        <v>12</v>
      </c>
      <c r="F74" t="s">
        <v>13</v>
      </c>
      <c r="G74" t="s">
        <v>54</v>
      </c>
      <c r="H74" t="s">
        <v>55</v>
      </c>
      <c r="I74">
        <v>142.69999999999999</v>
      </c>
      <c r="J74">
        <v>4.47</v>
      </c>
      <c r="K74" t="s">
        <v>16</v>
      </c>
    </row>
    <row r="75" spans="1:11" x14ac:dyDescent="0.25">
      <c r="A75">
        <v>2012</v>
      </c>
      <c r="B75">
        <v>2018</v>
      </c>
      <c r="C75">
        <v>11</v>
      </c>
      <c r="D75" t="s">
        <v>17</v>
      </c>
      <c r="E75" t="s">
        <v>12</v>
      </c>
      <c r="F75" t="s">
        <v>13</v>
      </c>
      <c r="G75" t="s">
        <v>54</v>
      </c>
      <c r="H75" t="s">
        <v>55</v>
      </c>
      <c r="I75">
        <v>145.1</v>
      </c>
      <c r="J75">
        <v>7.24</v>
      </c>
      <c r="K75" t="s">
        <v>16</v>
      </c>
    </row>
    <row r="76" spans="1:11" x14ac:dyDescent="0.25">
      <c r="A76">
        <v>2012</v>
      </c>
      <c r="B76">
        <v>2018</v>
      </c>
      <c r="C76">
        <v>10</v>
      </c>
      <c r="D76" t="s">
        <v>18</v>
      </c>
      <c r="E76" t="s">
        <v>12</v>
      </c>
      <c r="F76" t="s">
        <v>13</v>
      </c>
      <c r="G76" t="s">
        <v>54</v>
      </c>
      <c r="H76" t="s">
        <v>55</v>
      </c>
      <c r="I76">
        <v>143.5</v>
      </c>
      <c r="J76">
        <v>8.5500000000000007</v>
      </c>
      <c r="K76" t="s">
        <v>16</v>
      </c>
    </row>
    <row r="77" spans="1:11" x14ac:dyDescent="0.25">
      <c r="A77">
        <v>2012</v>
      </c>
      <c r="B77">
        <v>2018</v>
      </c>
      <c r="C77">
        <v>9</v>
      </c>
      <c r="D77" t="s">
        <v>19</v>
      </c>
      <c r="E77" t="s">
        <v>12</v>
      </c>
      <c r="F77" t="s">
        <v>13</v>
      </c>
      <c r="G77" t="s">
        <v>54</v>
      </c>
      <c r="H77" t="s">
        <v>55</v>
      </c>
      <c r="I77">
        <v>142.30000000000001</v>
      </c>
      <c r="J77">
        <v>8.6300000000000008</v>
      </c>
      <c r="K77" t="s">
        <v>16</v>
      </c>
    </row>
    <row r="78" spans="1:11" x14ac:dyDescent="0.25">
      <c r="A78">
        <v>2012</v>
      </c>
      <c r="B78">
        <v>2018</v>
      </c>
      <c r="C78">
        <v>8</v>
      </c>
      <c r="D78" t="s">
        <v>20</v>
      </c>
      <c r="E78" t="s">
        <v>12</v>
      </c>
      <c r="F78" t="s">
        <v>13</v>
      </c>
      <c r="G78" t="s">
        <v>54</v>
      </c>
      <c r="H78" t="s">
        <v>55</v>
      </c>
      <c r="I78">
        <v>140.9</v>
      </c>
      <c r="J78">
        <v>8.5500000000000007</v>
      </c>
      <c r="K78" t="s">
        <v>16</v>
      </c>
    </row>
    <row r="79" spans="1:11" x14ac:dyDescent="0.25">
      <c r="A79">
        <v>2012</v>
      </c>
      <c r="B79">
        <v>2018</v>
      </c>
      <c r="C79">
        <v>7</v>
      </c>
      <c r="D79" t="s">
        <v>21</v>
      </c>
      <c r="E79" t="s">
        <v>12</v>
      </c>
      <c r="F79" t="s">
        <v>13</v>
      </c>
      <c r="G79" t="s">
        <v>54</v>
      </c>
      <c r="H79" t="s">
        <v>55</v>
      </c>
      <c r="I79">
        <v>139.69999999999999</v>
      </c>
      <c r="J79">
        <v>7.96</v>
      </c>
      <c r="K79" t="s">
        <v>16</v>
      </c>
    </row>
    <row r="80" spans="1:11" x14ac:dyDescent="0.25">
      <c r="A80">
        <v>2012</v>
      </c>
      <c r="B80">
        <v>2018</v>
      </c>
      <c r="C80">
        <v>6</v>
      </c>
      <c r="D80" t="s">
        <v>22</v>
      </c>
      <c r="E80" t="s">
        <v>12</v>
      </c>
      <c r="F80" t="s">
        <v>13</v>
      </c>
      <c r="G80" t="s">
        <v>54</v>
      </c>
      <c r="H80" t="s">
        <v>55</v>
      </c>
      <c r="I80">
        <v>138.1</v>
      </c>
      <c r="J80">
        <v>7.22</v>
      </c>
      <c r="K80" t="s">
        <v>16</v>
      </c>
    </row>
    <row r="81" spans="1:11" x14ac:dyDescent="0.25">
      <c r="A81">
        <v>2012</v>
      </c>
      <c r="B81">
        <v>2018</v>
      </c>
      <c r="C81">
        <v>5</v>
      </c>
      <c r="D81" t="s">
        <v>23</v>
      </c>
      <c r="E81" t="s">
        <v>12</v>
      </c>
      <c r="F81" t="s">
        <v>13</v>
      </c>
      <c r="G81" t="s">
        <v>54</v>
      </c>
      <c r="H81" t="s">
        <v>55</v>
      </c>
      <c r="I81">
        <v>136.9</v>
      </c>
      <c r="J81">
        <v>5.8</v>
      </c>
      <c r="K81" t="s">
        <v>16</v>
      </c>
    </row>
    <row r="82" spans="1:11" x14ac:dyDescent="0.25">
      <c r="A82">
        <v>2012</v>
      </c>
      <c r="B82">
        <v>2018</v>
      </c>
      <c r="C82">
        <v>4</v>
      </c>
      <c r="D82" t="s">
        <v>24</v>
      </c>
      <c r="E82" t="s">
        <v>12</v>
      </c>
      <c r="F82" t="s">
        <v>13</v>
      </c>
      <c r="G82" t="s">
        <v>54</v>
      </c>
      <c r="H82" t="s">
        <v>55</v>
      </c>
      <c r="I82">
        <v>136.5</v>
      </c>
      <c r="J82">
        <v>5.16</v>
      </c>
      <c r="K82" t="s">
        <v>16</v>
      </c>
    </row>
    <row r="83" spans="1:11" x14ac:dyDescent="0.25">
      <c r="A83">
        <v>2012</v>
      </c>
      <c r="B83">
        <v>2018</v>
      </c>
      <c r="C83">
        <v>3</v>
      </c>
      <c r="D83" t="s">
        <v>25</v>
      </c>
      <c r="E83" t="s">
        <v>12</v>
      </c>
      <c r="F83" t="s">
        <v>13</v>
      </c>
      <c r="G83" t="s">
        <v>54</v>
      </c>
      <c r="H83" t="s">
        <v>55</v>
      </c>
      <c r="I83">
        <v>136.5</v>
      </c>
      <c r="J83">
        <v>5.73</v>
      </c>
      <c r="K83" t="s">
        <v>16</v>
      </c>
    </row>
    <row r="84" spans="1:11" x14ac:dyDescent="0.25">
      <c r="A84">
        <v>2012</v>
      </c>
      <c r="B84">
        <v>2018</v>
      </c>
      <c r="C84">
        <v>2</v>
      </c>
      <c r="D84" t="s">
        <v>26</v>
      </c>
      <c r="E84" t="s">
        <v>12</v>
      </c>
      <c r="F84" t="s">
        <v>13</v>
      </c>
      <c r="G84" t="s">
        <v>54</v>
      </c>
      <c r="H84" t="s">
        <v>55</v>
      </c>
      <c r="I84">
        <v>136.69999999999999</v>
      </c>
      <c r="J84">
        <v>6.88</v>
      </c>
      <c r="K84" t="s">
        <v>16</v>
      </c>
    </row>
    <row r="85" spans="1:11" x14ac:dyDescent="0.25">
      <c r="A85">
        <v>2012</v>
      </c>
      <c r="B85">
        <v>2018</v>
      </c>
      <c r="C85">
        <v>1</v>
      </c>
      <c r="D85" t="s">
        <v>27</v>
      </c>
      <c r="E85" t="s">
        <v>12</v>
      </c>
      <c r="F85" t="s">
        <v>13</v>
      </c>
      <c r="G85" t="s">
        <v>54</v>
      </c>
      <c r="H85" t="s">
        <v>55</v>
      </c>
      <c r="I85">
        <v>136.6</v>
      </c>
      <c r="J85">
        <v>7.73</v>
      </c>
      <c r="K85" t="s">
        <v>16</v>
      </c>
    </row>
    <row r="86" spans="1:11" x14ac:dyDescent="0.25">
      <c r="A86">
        <v>2012</v>
      </c>
      <c r="B86">
        <v>2017</v>
      </c>
      <c r="C86">
        <v>12</v>
      </c>
      <c r="D86" t="s">
        <v>11</v>
      </c>
      <c r="E86" t="s">
        <v>12</v>
      </c>
      <c r="F86" t="s">
        <v>13</v>
      </c>
      <c r="G86" t="s">
        <v>54</v>
      </c>
      <c r="H86" t="s">
        <v>55</v>
      </c>
      <c r="I86">
        <v>136.6</v>
      </c>
      <c r="J86">
        <v>7.9</v>
      </c>
      <c r="K86" t="s">
        <v>16</v>
      </c>
    </row>
    <row r="87" spans="1:11" x14ac:dyDescent="0.25">
      <c r="A87">
        <v>2012</v>
      </c>
      <c r="B87">
        <v>2017</v>
      </c>
      <c r="C87">
        <v>11</v>
      </c>
      <c r="D87" t="s">
        <v>17</v>
      </c>
      <c r="E87" t="s">
        <v>12</v>
      </c>
      <c r="F87" t="s">
        <v>13</v>
      </c>
      <c r="G87" t="s">
        <v>54</v>
      </c>
      <c r="H87" t="s">
        <v>55</v>
      </c>
      <c r="I87">
        <v>135.30000000000001</v>
      </c>
      <c r="J87">
        <v>8.24</v>
      </c>
      <c r="K87" t="s">
        <v>16</v>
      </c>
    </row>
    <row r="88" spans="1:11" x14ac:dyDescent="0.25">
      <c r="A88">
        <v>2012</v>
      </c>
      <c r="B88">
        <v>2017</v>
      </c>
      <c r="C88">
        <v>10</v>
      </c>
      <c r="D88" t="s">
        <v>18</v>
      </c>
      <c r="E88" t="s">
        <v>12</v>
      </c>
      <c r="F88" t="s">
        <v>13</v>
      </c>
      <c r="G88" t="s">
        <v>54</v>
      </c>
      <c r="H88" t="s">
        <v>55</v>
      </c>
      <c r="I88">
        <v>132.19999999999999</v>
      </c>
      <c r="J88">
        <v>6.36</v>
      </c>
      <c r="K88" t="s">
        <v>16</v>
      </c>
    </row>
    <row r="89" spans="1:11" x14ac:dyDescent="0.25">
      <c r="A89">
        <v>2012</v>
      </c>
      <c r="B89">
        <v>2017</v>
      </c>
      <c r="C89">
        <v>9</v>
      </c>
      <c r="D89" t="s">
        <v>19</v>
      </c>
      <c r="E89" t="s">
        <v>12</v>
      </c>
      <c r="F89" t="s">
        <v>13</v>
      </c>
      <c r="G89" t="s">
        <v>54</v>
      </c>
      <c r="H89" t="s">
        <v>55</v>
      </c>
      <c r="I89">
        <v>131</v>
      </c>
      <c r="J89">
        <v>5.56</v>
      </c>
      <c r="K89" t="s">
        <v>16</v>
      </c>
    </row>
    <row r="90" spans="1:11" x14ac:dyDescent="0.25">
      <c r="A90">
        <v>2012</v>
      </c>
      <c r="B90">
        <v>2017</v>
      </c>
      <c r="C90">
        <v>8</v>
      </c>
      <c r="D90" t="s">
        <v>20</v>
      </c>
      <c r="E90" t="s">
        <v>12</v>
      </c>
      <c r="F90" t="s">
        <v>13</v>
      </c>
      <c r="G90" t="s">
        <v>54</v>
      </c>
      <c r="H90" t="s">
        <v>55</v>
      </c>
      <c r="I90">
        <v>129.80000000000001</v>
      </c>
      <c r="J90">
        <v>5.0199999999999996</v>
      </c>
      <c r="K90" t="s">
        <v>16</v>
      </c>
    </row>
    <row r="91" spans="1:11" x14ac:dyDescent="0.25">
      <c r="A91">
        <v>2012</v>
      </c>
      <c r="B91">
        <v>2017</v>
      </c>
      <c r="C91">
        <v>7</v>
      </c>
      <c r="D91" t="s">
        <v>21</v>
      </c>
      <c r="E91" t="s">
        <v>12</v>
      </c>
      <c r="F91" t="s">
        <v>13</v>
      </c>
      <c r="G91" t="s">
        <v>54</v>
      </c>
      <c r="H91" t="s">
        <v>55</v>
      </c>
      <c r="I91">
        <v>129.4</v>
      </c>
      <c r="J91">
        <v>4.8600000000000003</v>
      </c>
      <c r="K91" t="s">
        <v>16</v>
      </c>
    </row>
    <row r="92" spans="1:11" x14ac:dyDescent="0.25">
      <c r="A92">
        <v>2012</v>
      </c>
      <c r="B92">
        <v>2017</v>
      </c>
      <c r="C92">
        <v>6</v>
      </c>
      <c r="D92" t="s">
        <v>22</v>
      </c>
      <c r="E92" t="s">
        <v>12</v>
      </c>
      <c r="F92" t="s">
        <v>13</v>
      </c>
      <c r="G92" t="s">
        <v>54</v>
      </c>
      <c r="H92" t="s">
        <v>55</v>
      </c>
      <c r="I92">
        <v>128.80000000000001</v>
      </c>
      <c r="J92">
        <v>4.46</v>
      </c>
      <c r="K92" t="s">
        <v>16</v>
      </c>
    </row>
    <row r="93" spans="1:11" x14ac:dyDescent="0.25">
      <c r="A93">
        <v>2012</v>
      </c>
      <c r="B93">
        <v>2017</v>
      </c>
      <c r="C93">
        <v>5</v>
      </c>
      <c r="D93" t="s">
        <v>23</v>
      </c>
      <c r="E93" t="s">
        <v>12</v>
      </c>
      <c r="F93" t="s">
        <v>13</v>
      </c>
      <c r="G93" t="s">
        <v>54</v>
      </c>
      <c r="H93" t="s">
        <v>55</v>
      </c>
      <c r="I93">
        <v>129.4</v>
      </c>
      <c r="J93">
        <v>5.46</v>
      </c>
      <c r="K93" t="s">
        <v>16</v>
      </c>
    </row>
    <row r="94" spans="1:11" x14ac:dyDescent="0.25">
      <c r="A94">
        <v>2012</v>
      </c>
      <c r="B94">
        <v>2017</v>
      </c>
      <c r="C94">
        <v>4</v>
      </c>
      <c r="D94" t="s">
        <v>24</v>
      </c>
      <c r="E94" t="s">
        <v>12</v>
      </c>
      <c r="F94" t="s">
        <v>13</v>
      </c>
      <c r="G94" t="s">
        <v>54</v>
      </c>
      <c r="H94" t="s">
        <v>55</v>
      </c>
      <c r="I94">
        <v>129.80000000000001</v>
      </c>
      <c r="J94">
        <v>6.13</v>
      </c>
      <c r="K94" t="s">
        <v>16</v>
      </c>
    </row>
    <row r="95" spans="1:11" x14ac:dyDescent="0.25">
      <c r="A95">
        <v>2012</v>
      </c>
      <c r="B95">
        <v>2017</v>
      </c>
      <c r="C95">
        <v>3</v>
      </c>
      <c r="D95" t="s">
        <v>25</v>
      </c>
      <c r="E95" t="s">
        <v>12</v>
      </c>
      <c r="F95" t="s">
        <v>13</v>
      </c>
      <c r="G95" t="s">
        <v>54</v>
      </c>
      <c r="H95" t="s">
        <v>55</v>
      </c>
      <c r="I95">
        <v>129.1</v>
      </c>
      <c r="J95">
        <v>5.47</v>
      </c>
      <c r="K95" t="s">
        <v>16</v>
      </c>
    </row>
    <row r="96" spans="1:11" x14ac:dyDescent="0.25">
      <c r="A96">
        <v>2012</v>
      </c>
      <c r="B96">
        <v>2017</v>
      </c>
      <c r="C96">
        <v>2</v>
      </c>
      <c r="D96" t="s">
        <v>26</v>
      </c>
      <c r="E96" t="s">
        <v>12</v>
      </c>
      <c r="F96" t="s">
        <v>13</v>
      </c>
      <c r="G96" t="s">
        <v>54</v>
      </c>
      <c r="H96" t="s">
        <v>55</v>
      </c>
      <c r="I96">
        <v>127.9</v>
      </c>
      <c r="J96">
        <v>3.9</v>
      </c>
      <c r="K96" t="s">
        <v>16</v>
      </c>
    </row>
    <row r="97" spans="1:11" x14ac:dyDescent="0.25">
      <c r="A97">
        <v>2012</v>
      </c>
      <c r="B97">
        <v>2017</v>
      </c>
      <c r="C97">
        <v>1</v>
      </c>
      <c r="D97" t="s">
        <v>27</v>
      </c>
      <c r="E97" t="s">
        <v>12</v>
      </c>
      <c r="F97" t="s">
        <v>13</v>
      </c>
      <c r="G97" t="s">
        <v>54</v>
      </c>
      <c r="H97" t="s">
        <v>55</v>
      </c>
      <c r="I97">
        <v>126.8</v>
      </c>
      <c r="J97">
        <v>3.34</v>
      </c>
      <c r="K97" t="s">
        <v>16</v>
      </c>
    </row>
    <row r="98" spans="1:11" x14ac:dyDescent="0.25">
      <c r="A98">
        <v>2012</v>
      </c>
      <c r="B98">
        <v>2016</v>
      </c>
      <c r="C98">
        <v>12</v>
      </c>
      <c r="D98" t="s">
        <v>11</v>
      </c>
      <c r="E98" t="s">
        <v>12</v>
      </c>
      <c r="F98" t="s">
        <v>13</v>
      </c>
      <c r="G98" t="s">
        <v>54</v>
      </c>
      <c r="H98" t="s">
        <v>55</v>
      </c>
      <c r="I98">
        <v>126.6</v>
      </c>
      <c r="J98">
        <v>3.77</v>
      </c>
      <c r="K98" t="s">
        <v>16</v>
      </c>
    </row>
    <row r="99" spans="1:11" x14ac:dyDescent="0.25">
      <c r="A99">
        <v>2012</v>
      </c>
      <c r="B99">
        <v>2016</v>
      </c>
      <c r="C99">
        <v>11</v>
      </c>
      <c r="D99" t="s">
        <v>17</v>
      </c>
      <c r="E99" t="s">
        <v>12</v>
      </c>
      <c r="F99" t="s">
        <v>13</v>
      </c>
      <c r="G99" t="s">
        <v>54</v>
      </c>
      <c r="H99" t="s">
        <v>55</v>
      </c>
      <c r="I99">
        <v>125</v>
      </c>
      <c r="J99">
        <v>2.8</v>
      </c>
      <c r="K99" t="s">
        <v>16</v>
      </c>
    </row>
    <row r="100" spans="1:11" x14ac:dyDescent="0.25">
      <c r="A100">
        <v>2012</v>
      </c>
      <c r="B100">
        <v>2016</v>
      </c>
      <c r="C100">
        <v>10</v>
      </c>
      <c r="D100" t="s">
        <v>18</v>
      </c>
      <c r="E100" t="s">
        <v>12</v>
      </c>
      <c r="F100" t="s">
        <v>13</v>
      </c>
      <c r="G100" t="s">
        <v>54</v>
      </c>
      <c r="H100" t="s">
        <v>55</v>
      </c>
      <c r="I100">
        <v>124.3</v>
      </c>
      <c r="J100">
        <v>2.9</v>
      </c>
      <c r="K100" t="s">
        <v>16</v>
      </c>
    </row>
    <row r="101" spans="1:11" x14ac:dyDescent="0.25">
      <c r="A101">
        <v>2012</v>
      </c>
      <c r="B101">
        <v>2016</v>
      </c>
      <c r="C101">
        <v>9</v>
      </c>
      <c r="D101" t="s">
        <v>19</v>
      </c>
      <c r="E101" t="s">
        <v>12</v>
      </c>
      <c r="F101" t="s">
        <v>13</v>
      </c>
      <c r="G101" t="s">
        <v>54</v>
      </c>
      <c r="H101" t="s">
        <v>55</v>
      </c>
      <c r="I101">
        <v>124.1</v>
      </c>
      <c r="J101">
        <v>3.07</v>
      </c>
      <c r="K101" t="s">
        <v>16</v>
      </c>
    </row>
    <row r="102" spans="1:11" x14ac:dyDescent="0.25">
      <c r="A102">
        <v>2012</v>
      </c>
      <c r="B102">
        <v>2016</v>
      </c>
      <c r="C102">
        <v>8</v>
      </c>
      <c r="D102" t="s">
        <v>20</v>
      </c>
      <c r="E102" t="s">
        <v>12</v>
      </c>
      <c r="F102" t="s">
        <v>13</v>
      </c>
      <c r="G102" t="s">
        <v>54</v>
      </c>
      <c r="H102" t="s">
        <v>55</v>
      </c>
      <c r="I102">
        <v>123.6</v>
      </c>
      <c r="J102">
        <v>2.4900000000000002</v>
      </c>
      <c r="K102" t="s">
        <v>16</v>
      </c>
    </row>
    <row r="103" spans="1:11" x14ac:dyDescent="0.25">
      <c r="A103">
        <v>2012</v>
      </c>
      <c r="B103">
        <v>2016</v>
      </c>
      <c r="C103">
        <v>7</v>
      </c>
      <c r="D103" t="s">
        <v>21</v>
      </c>
      <c r="E103" t="s">
        <v>12</v>
      </c>
      <c r="F103" t="s">
        <v>13</v>
      </c>
      <c r="G103" t="s">
        <v>54</v>
      </c>
      <c r="H103" t="s">
        <v>55</v>
      </c>
      <c r="I103">
        <v>123.4</v>
      </c>
      <c r="J103">
        <v>2.75</v>
      </c>
      <c r="K103" t="s">
        <v>16</v>
      </c>
    </row>
    <row r="104" spans="1:11" x14ac:dyDescent="0.25">
      <c r="A104">
        <v>2012</v>
      </c>
      <c r="B104">
        <v>2016</v>
      </c>
      <c r="C104">
        <v>6</v>
      </c>
      <c r="D104" t="s">
        <v>22</v>
      </c>
      <c r="E104" t="s">
        <v>12</v>
      </c>
      <c r="F104" t="s">
        <v>13</v>
      </c>
      <c r="G104" t="s">
        <v>54</v>
      </c>
      <c r="H104" t="s">
        <v>55</v>
      </c>
      <c r="I104">
        <v>123.3</v>
      </c>
      <c r="J104">
        <v>2.92</v>
      </c>
      <c r="K104" t="s">
        <v>16</v>
      </c>
    </row>
    <row r="105" spans="1:11" x14ac:dyDescent="0.25">
      <c r="A105">
        <v>2012</v>
      </c>
      <c r="B105">
        <v>2016</v>
      </c>
      <c r="C105">
        <v>5</v>
      </c>
      <c r="D105" t="s">
        <v>23</v>
      </c>
      <c r="E105" t="s">
        <v>12</v>
      </c>
      <c r="F105" t="s">
        <v>13</v>
      </c>
      <c r="G105" t="s">
        <v>54</v>
      </c>
      <c r="H105" t="s">
        <v>55</v>
      </c>
      <c r="I105">
        <v>122.7</v>
      </c>
      <c r="J105">
        <v>2.94</v>
      </c>
      <c r="K105" t="s">
        <v>16</v>
      </c>
    </row>
    <row r="106" spans="1:11" x14ac:dyDescent="0.25">
      <c r="A106">
        <v>2012</v>
      </c>
      <c r="B106">
        <v>2016</v>
      </c>
      <c r="C106">
        <v>4</v>
      </c>
      <c r="D106" t="s">
        <v>24</v>
      </c>
      <c r="E106" t="s">
        <v>12</v>
      </c>
      <c r="F106" t="s">
        <v>13</v>
      </c>
      <c r="G106" t="s">
        <v>54</v>
      </c>
      <c r="H106" t="s">
        <v>55</v>
      </c>
      <c r="I106">
        <v>122.3</v>
      </c>
      <c r="J106">
        <v>3.03</v>
      </c>
      <c r="K106" t="s">
        <v>16</v>
      </c>
    </row>
    <row r="107" spans="1:11" x14ac:dyDescent="0.25">
      <c r="A107">
        <v>2012</v>
      </c>
      <c r="B107">
        <v>2016</v>
      </c>
      <c r="C107">
        <v>3</v>
      </c>
      <c r="D107" t="s">
        <v>25</v>
      </c>
      <c r="E107" t="s">
        <v>12</v>
      </c>
      <c r="F107" t="s">
        <v>13</v>
      </c>
      <c r="G107" t="s">
        <v>54</v>
      </c>
      <c r="H107" t="s">
        <v>55</v>
      </c>
      <c r="I107">
        <v>122.4</v>
      </c>
      <c r="J107">
        <v>3.47</v>
      </c>
      <c r="K107" t="s">
        <v>16</v>
      </c>
    </row>
    <row r="108" spans="1:11" x14ac:dyDescent="0.25">
      <c r="A108">
        <v>2012</v>
      </c>
      <c r="B108">
        <v>2016</v>
      </c>
      <c r="C108">
        <v>2</v>
      </c>
      <c r="D108" t="s">
        <v>26</v>
      </c>
      <c r="E108" t="s">
        <v>12</v>
      </c>
      <c r="F108" t="s">
        <v>13</v>
      </c>
      <c r="G108" t="s">
        <v>54</v>
      </c>
      <c r="H108" t="s">
        <v>55</v>
      </c>
      <c r="I108">
        <v>123.1</v>
      </c>
      <c r="J108">
        <v>4.59</v>
      </c>
      <c r="K108" t="s">
        <v>16</v>
      </c>
    </row>
    <row r="109" spans="1:11" x14ac:dyDescent="0.25">
      <c r="A109">
        <v>2012</v>
      </c>
      <c r="B109">
        <v>2016</v>
      </c>
      <c r="C109">
        <v>1</v>
      </c>
      <c r="D109" t="s">
        <v>27</v>
      </c>
      <c r="E109" t="s">
        <v>12</v>
      </c>
      <c r="F109" t="s">
        <v>13</v>
      </c>
      <c r="G109" t="s">
        <v>54</v>
      </c>
      <c r="H109" t="s">
        <v>55</v>
      </c>
      <c r="I109">
        <v>122.7</v>
      </c>
      <c r="J109">
        <v>5.32</v>
      </c>
      <c r="K109" t="s">
        <v>16</v>
      </c>
    </row>
    <row r="110" spans="1:11" x14ac:dyDescent="0.25">
      <c r="A110">
        <v>2012</v>
      </c>
      <c r="B110">
        <v>2015</v>
      </c>
      <c r="C110">
        <v>12</v>
      </c>
      <c r="D110" t="s">
        <v>11</v>
      </c>
      <c r="E110" t="s">
        <v>12</v>
      </c>
      <c r="F110" t="s">
        <v>13</v>
      </c>
      <c r="G110" t="s">
        <v>54</v>
      </c>
      <c r="H110" t="s">
        <v>55</v>
      </c>
      <c r="I110">
        <v>122</v>
      </c>
      <c r="J110">
        <v>5.45</v>
      </c>
      <c r="K110" t="s">
        <v>16</v>
      </c>
    </row>
    <row r="111" spans="1:11" x14ac:dyDescent="0.25">
      <c r="A111">
        <v>2012</v>
      </c>
      <c r="B111">
        <v>2015</v>
      </c>
      <c r="C111">
        <v>11</v>
      </c>
      <c r="D111" t="s">
        <v>17</v>
      </c>
      <c r="E111" t="s">
        <v>12</v>
      </c>
      <c r="F111" t="s">
        <v>13</v>
      </c>
      <c r="G111" t="s">
        <v>54</v>
      </c>
      <c r="H111" t="s">
        <v>55</v>
      </c>
      <c r="I111">
        <v>121.6</v>
      </c>
      <c r="J111">
        <v>5.28</v>
      </c>
      <c r="K111" t="s">
        <v>16</v>
      </c>
    </row>
    <row r="112" spans="1:11" x14ac:dyDescent="0.25">
      <c r="A112">
        <v>2012</v>
      </c>
      <c r="B112">
        <v>2015</v>
      </c>
      <c r="C112">
        <v>10</v>
      </c>
      <c r="D112" t="s">
        <v>18</v>
      </c>
      <c r="E112" t="s">
        <v>12</v>
      </c>
      <c r="F112" t="s">
        <v>13</v>
      </c>
      <c r="G112" t="s">
        <v>54</v>
      </c>
      <c r="H112" t="s">
        <v>55</v>
      </c>
      <c r="I112">
        <v>120.8</v>
      </c>
      <c r="J112">
        <v>5.32</v>
      </c>
      <c r="K112" t="s">
        <v>16</v>
      </c>
    </row>
    <row r="113" spans="1:11" x14ac:dyDescent="0.25">
      <c r="A113">
        <v>2012</v>
      </c>
      <c r="B113">
        <v>2015</v>
      </c>
      <c r="C113">
        <v>9</v>
      </c>
      <c r="D113" t="s">
        <v>19</v>
      </c>
      <c r="E113" t="s">
        <v>12</v>
      </c>
      <c r="F113" t="s">
        <v>13</v>
      </c>
      <c r="G113" t="s">
        <v>54</v>
      </c>
      <c r="H113" t="s">
        <v>55</v>
      </c>
      <c r="I113">
        <v>120.4</v>
      </c>
      <c r="J113">
        <v>5.34</v>
      </c>
      <c r="K113" t="s">
        <v>16</v>
      </c>
    </row>
    <row r="114" spans="1:11" x14ac:dyDescent="0.25">
      <c r="A114">
        <v>2012</v>
      </c>
      <c r="B114">
        <v>2015</v>
      </c>
      <c r="C114">
        <v>8</v>
      </c>
      <c r="D114" t="s">
        <v>20</v>
      </c>
      <c r="E114" t="s">
        <v>12</v>
      </c>
      <c r="F114" t="s">
        <v>13</v>
      </c>
      <c r="G114" t="s">
        <v>54</v>
      </c>
      <c r="H114" t="s">
        <v>55</v>
      </c>
      <c r="I114">
        <v>120.6</v>
      </c>
      <c r="J114">
        <v>5.79</v>
      </c>
      <c r="K114" t="s">
        <v>16</v>
      </c>
    </row>
    <row r="115" spans="1:11" x14ac:dyDescent="0.25">
      <c r="A115">
        <v>2012</v>
      </c>
      <c r="B115">
        <v>2015</v>
      </c>
      <c r="C115">
        <v>7</v>
      </c>
      <c r="D115" t="s">
        <v>21</v>
      </c>
      <c r="E115" t="s">
        <v>12</v>
      </c>
      <c r="F115" t="s">
        <v>13</v>
      </c>
      <c r="G115" t="s">
        <v>54</v>
      </c>
      <c r="H115" t="s">
        <v>55</v>
      </c>
      <c r="I115">
        <v>120.1</v>
      </c>
      <c r="J115">
        <v>5.44</v>
      </c>
      <c r="K115" t="s">
        <v>16</v>
      </c>
    </row>
    <row r="116" spans="1:11" x14ac:dyDescent="0.25">
      <c r="A116">
        <v>2012</v>
      </c>
      <c r="B116">
        <v>2015</v>
      </c>
      <c r="C116">
        <v>6</v>
      </c>
      <c r="D116" t="s">
        <v>22</v>
      </c>
      <c r="E116" t="s">
        <v>12</v>
      </c>
      <c r="F116" t="s">
        <v>13</v>
      </c>
      <c r="G116" t="s">
        <v>54</v>
      </c>
      <c r="H116" t="s">
        <v>55</v>
      </c>
      <c r="I116">
        <v>119.8</v>
      </c>
      <c r="J116">
        <v>5.83</v>
      </c>
      <c r="K116" t="s">
        <v>16</v>
      </c>
    </row>
    <row r="117" spans="1:11" x14ac:dyDescent="0.25">
      <c r="A117">
        <v>2012</v>
      </c>
      <c r="B117">
        <v>2015</v>
      </c>
      <c r="C117">
        <v>5</v>
      </c>
      <c r="D117" t="s">
        <v>23</v>
      </c>
      <c r="E117" t="s">
        <v>12</v>
      </c>
      <c r="F117" t="s">
        <v>13</v>
      </c>
      <c r="G117" t="s">
        <v>54</v>
      </c>
      <c r="H117" t="s">
        <v>55</v>
      </c>
      <c r="I117">
        <v>119.2</v>
      </c>
      <c r="J117">
        <v>5.96</v>
      </c>
      <c r="K117" t="s">
        <v>16</v>
      </c>
    </row>
    <row r="118" spans="1:11" x14ac:dyDescent="0.25">
      <c r="A118">
        <v>2012</v>
      </c>
      <c r="B118">
        <v>2015</v>
      </c>
      <c r="C118">
        <v>4</v>
      </c>
      <c r="D118" t="s">
        <v>24</v>
      </c>
      <c r="E118" t="s">
        <v>12</v>
      </c>
      <c r="F118" t="s">
        <v>13</v>
      </c>
      <c r="G118" t="s">
        <v>54</v>
      </c>
      <c r="H118" t="s">
        <v>55</v>
      </c>
      <c r="I118">
        <v>118.7</v>
      </c>
      <c r="J118">
        <v>5.51</v>
      </c>
      <c r="K118" t="s">
        <v>16</v>
      </c>
    </row>
    <row r="119" spans="1:11" x14ac:dyDescent="0.25">
      <c r="A119">
        <v>2012</v>
      </c>
      <c r="B119">
        <v>2015</v>
      </c>
      <c r="C119">
        <v>3</v>
      </c>
      <c r="D119" t="s">
        <v>25</v>
      </c>
      <c r="E119" t="s">
        <v>12</v>
      </c>
      <c r="F119" t="s">
        <v>13</v>
      </c>
      <c r="G119" t="s">
        <v>54</v>
      </c>
      <c r="H119" t="s">
        <v>55</v>
      </c>
      <c r="I119">
        <v>118.3</v>
      </c>
      <c r="J119">
        <v>5.16</v>
      </c>
      <c r="K119" t="s">
        <v>16</v>
      </c>
    </row>
    <row r="120" spans="1:11" x14ac:dyDescent="0.25">
      <c r="A120">
        <v>2012</v>
      </c>
      <c r="B120">
        <v>2015</v>
      </c>
      <c r="C120">
        <v>2</v>
      </c>
      <c r="D120" t="s">
        <v>26</v>
      </c>
      <c r="E120" t="s">
        <v>12</v>
      </c>
      <c r="F120" t="s">
        <v>13</v>
      </c>
      <c r="G120" t="s">
        <v>54</v>
      </c>
      <c r="H120" t="s">
        <v>55</v>
      </c>
      <c r="I120">
        <v>117.7</v>
      </c>
      <c r="J120">
        <v>4.72</v>
      </c>
      <c r="K120" t="s">
        <v>16</v>
      </c>
    </row>
    <row r="121" spans="1:11" x14ac:dyDescent="0.25">
      <c r="A121">
        <v>2012</v>
      </c>
      <c r="B121">
        <v>2015</v>
      </c>
      <c r="C121">
        <v>1</v>
      </c>
      <c r="D121" t="s">
        <v>27</v>
      </c>
      <c r="E121" t="s">
        <v>12</v>
      </c>
      <c r="F121" t="s">
        <v>13</v>
      </c>
      <c r="G121" t="s">
        <v>54</v>
      </c>
      <c r="H121" t="s">
        <v>55</v>
      </c>
      <c r="I121">
        <v>116.5</v>
      </c>
      <c r="J121">
        <v>3.83</v>
      </c>
      <c r="K121" t="s">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4137E-0F31-4CE3-B862-45C301F6FFBE}">
  <dimension ref="A1:C11"/>
  <sheetViews>
    <sheetView workbookViewId="0">
      <selection activeCell="D17" sqref="D17"/>
    </sheetView>
  </sheetViews>
  <sheetFormatPr defaultRowHeight="15" x14ac:dyDescent="0.25"/>
  <cols>
    <col min="1" max="1" width="21.42578125" customWidth="1"/>
    <col min="2" max="2" width="29.140625" customWidth="1"/>
    <col min="3" max="3" width="21" customWidth="1"/>
  </cols>
  <sheetData>
    <row r="1" spans="1:3" ht="30" x14ac:dyDescent="0.25">
      <c r="A1" s="5" t="s">
        <v>38</v>
      </c>
      <c r="B1" s="5" t="s">
        <v>56</v>
      </c>
      <c r="C1" s="5" t="s">
        <v>57</v>
      </c>
    </row>
    <row r="2" spans="1:3" x14ac:dyDescent="0.25">
      <c r="A2">
        <v>2015</v>
      </c>
      <c r="B2">
        <f>AVERAGEIF(Food_Overall!$B:$B,A2,Food_Overall!$J:$J)</f>
        <v>5.2833333333333323</v>
      </c>
      <c r="C2">
        <f>AVERAGEIF(Fuel_Overall!$B:$B,A2,Fuel_Overall!$J:$J)</f>
        <v>5.3024999999999993</v>
      </c>
    </row>
    <row r="3" spans="1:3" x14ac:dyDescent="0.25">
      <c r="A3">
        <v>2016</v>
      </c>
      <c r="B3">
        <f>AVERAGEIF(Food_Overall!$B:$B,A3,Food_Overall!$J:$J)</f>
        <v>5.373333333333334</v>
      </c>
      <c r="C3">
        <f>AVERAGEIF(Fuel_Overall!$B:$B,A3,Fuel_Overall!$J:$J)</f>
        <v>3.3375000000000004</v>
      </c>
    </row>
    <row r="4" spans="1:3" x14ac:dyDescent="0.25">
      <c r="A4">
        <v>2017</v>
      </c>
      <c r="B4">
        <f>AVERAGEIF(Food_Overall!$B:$B,A4,Food_Overall!$J:$J)</f>
        <v>1.8224999999999998</v>
      </c>
      <c r="C4">
        <f>AVERAGEIF(Fuel_Overall!$B:$B,A4,Fuel_Overall!$J:$J)</f>
        <v>5.5583333333333336</v>
      </c>
    </row>
    <row r="5" spans="1:3" x14ac:dyDescent="0.25">
      <c r="A5">
        <v>2018</v>
      </c>
      <c r="B5">
        <f>AVERAGEIF(Food_Overall!$B:$B,A5,Food_Overall!$J:$J)</f>
        <v>1.7141666666666666</v>
      </c>
      <c r="C5">
        <f>AVERAGEIF(Fuel_Overall!$B:$B,A5,Fuel_Overall!$J:$J)</f>
        <v>6.9933333333333332</v>
      </c>
    </row>
    <row r="6" spans="1:3" x14ac:dyDescent="0.25">
      <c r="A6">
        <v>2019</v>
      </c>
      <c r="B6">
        <f>AVERAGEIF(Food_Overall!$B:$B,A6,Food_Overall!$J:$J)</f>
        <v>3.5741666666666667</v>
      </c>
      <c r="C6">
        <f>AVERAGEIF(Fuel_Overall!$B:$B,A6,Fuel_Overall!$J:$J)</f>
        <v>0.46333333333333337</v>
      </c>
    </row>
    <row r="7" spans="1:3" x14ac:dyDescent="0.25">
      <c r="A7">
        <v>2020</v>
      </c>
      <c r="B7">
        <f>AVERAGEIF(Food_Overall!$B:$B,A7,Food_Overall!$J:$J)</f>
        <v>8.6350000000000016</v>
      </c>
      <c r="C7">
        <f>AVERAGEIF(Fuel_Overall!$B:$B,A7,Fuel_Overall!$J:$J)</f>
        <v>3.242</v>
      </c>
    </row>
    <row r="8" spans="1:3" x14ac:dyDescent="0.25">
      <c r="A8">
        <v>2021</v>
      </c>
      <c r="B8">
        <f>AVERAGEIF(Food_Overall!$B:$B,A8,Food_Overall!$J:$J)</f>
        <v>3.6891666666666674</v>
      </c>
      <c r="C8">
        <f>AVERAGEIF(Fuel_Overall!$B:$B,A8,Fuel_Overall!$J:$J)</f>
        <v>10.157500000000001</v>
      </c>
    </row>
    <row r="9" spans="1:3" x14ac:dyDescent="0.25">
      <c r="A9">
        <v>2022</v>
      </c>
      <c r="B9">
        <f>AVERAGEIF(Food_Overall!$B:$B,A9,Food_Overall!$J:$J)</f>
        <v>6.8266666666666671</v>
      </c>
      <c r="C9">
        <f>AVERAGEIF(Fuel_Overall!$B:$B,A9,Fuel_Overall!$J:$J)</f>
        <v>10.025833333333333</v>
      </c>
    </row>
    <row r="10" spans="1:3" x14ac:dyDescent="0.25">
      <c r="A10">
        <v>2023</v>
      </c>
      <c r="B10">
        <f>AVERAGEIF(Food_Overall!$B:$B,A10,Food_Overall!$J:$J)</f>
        <v>6.5691666666666668</v>
      </c>
      <c r="C10">
        <f>AVERAGEIF(Fuel_Overall!$B:$B,A10,Fuel_Overall!$J:$J)</f>
        <v>4.1158333333333337</v>
      </c>
    </row>
    <row r="11" spans="1:3" x14ac:dyDescent="0.25">
      <c r="A11">
        <v>2024</v>
      </c>
      <c r="B11">
        <f>AVERAGEIF(Food_Overall!$B:$B,A11,Food_Overall!$J:$J)</f>
        <v>7.6233333333333322</v>
      </c>
      <c r="C11">
        <f>AVERAGEIF(Fuel_Overall!$B:$B,A11,Fuel_Overall!$J:$J)</f>
        <v>-2.7433333333333336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72AEB-D2E2-4FE7-B8E0-B5129B3D6CC8}">
  <dimension ref="A1:A24"/>
  <sheetViews>
    <sheetView workbookViewId="0">
      <selection activeCell="H16" sqref="H16"/>
    </sheetView>
  </sheetViews>
  <sheetFormatPr defaultRowHeight="15" x14ac:dyDescent="0.25"/>
  <cols>
    <col min="1" max="1" width="60.7109375" customWidth="1"/>
  </cols>
  <sheetData>
    <row r="1" spans="1:1" ht="42" x14ac:dyDescent="0.35">
      <c r="A1" s="7" t="s">
        <v>58</v>
      </c>
    </row>
    <row r="2" spans="1:1" x14ac:dyDescent="0.25">
      <c r="A2" s="8"/>
    </row>
    <row r="3" spans="1:1" ht="18.75" x14ac:dyDescent="0.3">
      <c r="A3" s="9" t="s">
        <v>59</v>
      </c>
    </row>
    <row r="4" spans="1:1" ht="47.25" x14ac:dyDescent="0.25">
      <c r="A4" s="10" t="s">
        <v>60</v>
      </c>
    </row>
    <row r="5" spans="1:1" x14ac:dyDescent="0.25">
      <c r="A5" s="8"/>
    </row>
    <row r="6" spans="1:1" ht="18.75" x14ac:dyDescent="0.3">
      <c r="A6" s="9" t="s">
        <v>61</v>
      </c>
    </row>
    <row r="7" spans="1:1" ht="15.75" x14ac:dyDescent="0.25">
      <c r="A7" s="10" t="s">
        <v>62</v>
      </c>
    </row>
    <row r="8" spans="1:1" ht="15.75" x14ac:dyDescent="0.25">
      <c r="A8" s="10" t="s">
        <v>63</v>
      </c>
    </row>
    <row r="9" spans="1:1" ht="15.75" x14ac:dyDescent="0.25">
      <c r="A9" s="10" t="s">
        <v>64</v>
      </c>
    </row>
    <row r="10" spans="1:1" ht="15.75" x14ac:dyDescent="0.25">
      <c r="A10" s="10" t="s">
        <v>65</v>
      </c>
    </row>
    <row r="11" spans="1:1" ht="15.75" x14ac:dyDescent="0.25">
      <c r="A11" s="10" t="s">
        <v>66</v>
      </c>
    </row>
    <row r="12" spans="1:1" ht="15.75" x14ac:dyDescent="0.25">
      <c r="A12" s="10" t="s">
        <v>67</v>
      </c>
    </row>
    <row r="13" spans="1:1" ht="15.75" x14ac:dyDescent="0.25">
      <c r="A13" s="10" t="s">
        <v>68</v>
      </c>
    </row>
    <row r="14" spans="1:1" ht="31.5" x14ac:dyDescent="0.25">
      <c r="A14" s="10" t="s">
        <v>69</v>
      </c>
    </row>
    <row r="15" spans="1:1" ht="15.75" x14ac:dyDescent="0.25">
      <c r="A15" s="10"/>
    </row>
    <row r="16" spans="1:1" ht="18.75" x14ac:dyDescent="0.3">
      <c r="A16" s="9" t="s">
        <v>74</v>
      </c>
    </row>
    <row r="17" spans="1:1" ht="105" x14ac:dyDescent="0.25">
      <c r="A17" s="8" t="s">
        <v>75</v>
      </c>
    </row>
    <row r="18" spans="1:1" x14ac:dyDescent="0.25">
      <c r="A18" s="8"/>
    </row>
    <row r="19" spans="1:1" ht="18.75" x14ac:dyDescent="0.3">
      <c r="A19" s="9" t="s">
        <v>70</v>
      </c>
    </row>
    <row r="20" spans="1:1" ht="189" x14ac:dyDescent="0.25">
      <c r="A20" s="10" t="s">
        <v>73</v>
      </c>
    </row>
    <row r="21" spans="1:1" x14ac:dyDescent="0.25">
      <c r="A21" s="8"/>
    </row>
    <row r="22" spans="1:1" ht="18.75" x14ac:dyDescent="0.3">
      <c r="A22" s="9" t="s">
        <v>71</v>
      </c>
    </row>
    <row r="23" spans="1:1" ht="31.5" x14ac:dyDescent="0.25">
      <c r="A23" s="11" t="s">
        <v>72</v>
      </c>
    </row>
    <row r="24" spans="1:1" x14ac:dyDescent="0.25">
      <c r="A24"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Cleaned_Data</vt:lpstr>
      <vt:lpstr>Summary_Stats</vt:lpstr>
      <vt:lpstr>Dashboard</vt:lpstr>
      <vt:lpstr>Food_Overall</vt:lpstr>
      <vt:lpstr>Fuel_Overall</vt:lpstr>
      <vt:lpstr>Food_Fuel_Comparison</vt:lpstr>
      <vt:lpstr>Executive_Summary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shanayadubey33@gmail.com</dc:creator>
  <cp:lastModifiedBy>shanayadubey33@gmail.com</cp:lastModifiedBy>
  <dcterms:created xsi:type="dcterms:W3CDTF">2026-06-14T16:18:27Z</dcterms:created>
  <dcterms:modified xsi:type="dcterms:W3CDTF">2026-06-15T16:27:55Z</dcterms:modified>
</cp:coreProperties>
</file>